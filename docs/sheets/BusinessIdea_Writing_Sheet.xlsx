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ste" sheetId="2" state="visible" r:id="rId2"/>
    <sheet xmlns:r="http://schemas.openxmlformats.org/officeDocument/2006/relationships" name="Ideas" sheetId="3" state="visible" r:id="rId3"/>
    <sheet xmlns:r="http://schemas.openxmlformats.org/officeDocument/2006/relationships" name="Batches" sheetId="4" state="visible" r:id="rId4"/>
    <sheet xmlns:r="http://schemas.openxmlformats.org/officeDocument/2006/relationships" name="Format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621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BE4E5"/>
        </patternFill>
      </fill>
    </dxf>
    <dxf>
      <fill>
        <patternFill patternType="solid">
          <fgColor rgb="00E2F3E7"/>
        </patternFill>
      </fill>
    </dxf>
    <dxf>
      <fill>
        <patternFill patternType="solid">
          <fgColor rgb="00FDF1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BusinessIdea.io writing sheet</t>
        </is>
      </c>
    </row>
    <row r="2">
      <c r="A2" s="2" t="inlineStr"/>
    </row>
    <row r="3">
      <c r="A3" s="2" t="inlineStr">
        <is>
          <t>1. Open the Batch Prompts page, tap Copy on a batch and paste it into any writing tool. Fresh chat for every batch.</t>
        </is>
      </c>
    </row>
    <row r="4">
      <c r="A4" s="2" t="inlineStr">
        <is>
          <t>2. Copy the answer with the code block's own copy button.</t>
        </is>
      </c>
    </row>
    <row r="5">
      <c r="A5" s="2" t="inlineStr">
        <is>
          <t>3. Paste it into the Paste tab, column A, in the first empty cell. Paste nothing anywhere else.</t>
        </is>
      </c>
    </row>
    <row r="6">
      <c r="A6" s="2" t="inlineStr">
        <is>
          <t>4. Column B says OK, WRONG FIELD COUNT or NO END. Red rows: ask the tool to rewrite that idea, paste the new line below, and delete the red one.</t>
        </is>
      </c>
    </row>
    <row r="7">
      <c r="A7" s="2" t="inlineStr">
        <is>
          <t>5. Type next in the tool for the next subcategory (5 per batch). AI Studio: type all for all 50 at once. If it stops halfway, type continue.</t>
        </is>
      </c>
    </row>
    <row r="8">
      <c r="A8" s="2" t="inlineStr">
        <is>
          <t>6. In the Batches tab, write which account took the batch and set Status. Column G counts the OK ideas for that batch (50 = complete).</t>
        </is>
      </c>
    </row>
    <row r="9">
      <c r="A9" s="2" t="inlineStr">
        <is>
          <t>7. The Ideas tab fills itself with every OK row split into 31 columns. To upload: File &gt; Download &gt; CSV while the Ideas tab is open.</t>
        </is>
      </c>
    </row>
    <row r="10">
      <c r="A10" s="2" t="inlineStr"/>
    </row>
    <row r="11">
      <c r="A11" s="2" t="inlineStr">
        <is>
          <t>Do not type in the Ideas tab or in columns B to D of the Paste tab: they are 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22" customWidth="1" min="2" max="2"/>
    <col width="18" customWidth="1" min="3" max="3"/>
    <col width="12" customWidth="1" min="4" max="4"/>
    <col width="22" customWidth="1" min="6" max="6"/>
    <col width="10" customWidth="1" min="7" max="7"/>
  </cols>
  <sheetData>
    <row r="1">
      <c r="A1" s="3" t="inlineStr">
        <is>
          <t>Paste rows here (column A only)</t>
        </is>
      </c>
      <c r="B1" s="3" t="inlineStr">
        <is>
          <t>Check</t>
        </is>
      </c>
      <c r="C1" s="3" t="inlineStr">
        <is>
          <t>Idea code</t>
        </is>
      </c>
      <c r="D1" s="3" t="inlineStr">
        <is>
          <t>Duplicate</t>
        </is>
      </c>
      <c r="E1" s="2" t="inlineStr"/>
      <c r="F1" s="3" t="inlineStr">
        <is>
          <t>Summary</t>
        </is>
      </c>
      <c r="G1" s="2" t="inlineStr"/>
    </row>
    <row r="2">
      <c r="B2">
        <f>ARRAYFORMULA(IF(A2:A="",,IF((LEN(A2:A)-LEN(SUBSTITUTE(A2:A," | ","")))/3&lt;&gt;30,"WRONG FIELD COUNT",IF(RIGHT(TRIM(A2:A),3)&lt;&gt;"END","NO END","OK"))))</f>
        <v/>
      </c>
      <c r="C2">
        <f>ARRAYFORMULA(IF(A2:A="",,IFERROR(REGEXEXTRACT(A2:A,"C[0-9]{3}-S[0-9]{2}-I[0-9]{2}"),"NO CODE")))</f>
        <v/>
      </c>
      <c r="D2">
        <f>ARRAYFORMULA(IF(C2:C="",,IF(COUNTIF(C2:C,C2:C)&gt;1,"DUPLICATE",)))</f>
        <v/>
      </c>
      <c r="F2" s="2" t="inlineStr">
        <is>
          <t>OK ideas</t>
        </is>
      </c>
      <c r="G2" s="2">
        <f>COUNTIF(B2:B,"OK")</f>
        <v/>
      </c>
    </row>
    <row r="3">
      <c r="F3" s="2" t="inlineStr">
        <is>
          <t>Rows with a problem</t>
        </is>
      </c>
      <c r="G3" s="2">
        <f>COUNTA(A2:A)-G2</f>
        <v/>
      </c>
    </row>
    <row r="4">
      <c r="F4" s="2" t="inlineStr">
        <is>
          <t>Duplicate codes</t>
        </is>
      </c>
      <c r="G4" s="2">
        <f>COUNTIF(D2:D,"DUPLICATE")</f>
        <v/>
      </c>
    </row>
    <row r="5">
      <c r="F5" s="2" t="inlineStr">
        <is>
          <t>Target</t>
        </is>
      </c>
      <c r="G5" s="2" t="n">
        <v>10000</v>
      </c>
    </row>
  </sheetData>
  <conditionalFormatting sqref="B2:B20000">
    <cfRule type="expression" priority="1" dxfId="0">
      <formula>AND(B2&lt;&gt;"",B2&lt;&gt;"OK")</formula>
    </cfRule>
    <cfRule type="expression" priority="2" dxfId="1">
      <formula>B2="OK"</formula>
    </cfRule>
  </conditionalFormatting>
  <conditionalFormatting sqref="D2:D20000">
    <cfRule type="expression" priority="3" dxfId="0">
      <formula>D2="DUPLICATE"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3" t="inlineStr">
        <is>
          <t>code</t>
        </is>
      </c>
      <c r="B1" s="3" t="inlineStr">
        <is>
          <t>title</t>
        </is>
      </c>
      <c r="C1" s="3" t="inlineStr">
        <is>
          <t>slug</t>
        </is>
      </c>
      <c r="D1" s="3" t="inlineStr">
        <is>
          <t>hook</t>
        </is>
      </c>
      <c r="E1" s="3" t="inlineStr">
        <is>
          <t>summary</t>
        </is>
      </c>
      <c r="F1" s="3" t="inlineStr">
        <is>
          <t>what_it_is</t>
        </is>
      </c>
      <c r="G1" s="3" t="inlineStr">
        <is>
          <t>who_pays_you</t>
        </is>
      </c>
      <c r="H1" s="3" t="inlineStr">
        <is>
          <t>how_money_comes</t>
        </is>
      </c>
      <c r="I1" s="3" t="inlineStr">
        <is>
          <t>what_you_need</t>
        </is>
      </c>
      <c r="J1" s="3" t="inlineStr">
        <is>
          <t>step1</t>
        </is>
      </c>
      <c r="K1" s="3" t="inlineStr">
        <is>
          <t>step2</t>
        </is>
      </c>
      <c r="L1" s="3" t="inlineStr">
        <is>
          <t>step3</t>
        </is>
      </c>
      <c r="M1" s="3" t="inlineStr">
        <is>
          <t>step4</t>
        </is>
      </c>
      <c r="N1" s="3" t="inlineStr">
        <is>
          <t>step5</t>
        </is>
      </c>
      <c r="O1" s="3" t="inlineStr">
        <is>
          <t>what_hurts</t>
        </is>
      </c>
      <c r="P1" s="3" t="inlineStr">
        <is>
          <t>verdict</t>
        </is>
      </c>
      <c r="Q1" s="3" t="inlineStr">
        <is>
          <t>faq1_q</t>
        </is>
      </c>
      <c r="R1" s="3" t="inlineStr">
        <is>
          <t>faq1_a</t>
        </is>
      </c>
      <c r="S1" s="3" t="inlineStr">
        <is>
          <t>faq2_q</t>
        </is>
      </c>
      <c r="T1" s="3" t="inlineStr">
        <is>
          <t>faq2_a</t>
        </is>
      </c>
      <c r="U1" s="3" t="inlineStr">
        <is>
          <t>faq3_q</t>
        </is>
      </c>
      <c r="V1" s="3" t="inlineStr">
        <is>
          <t>faq3_a</t>
        </is>
      </c>
      <c r="W1" s="3" t="inlineStr">
        <is>
          <t>validate_prompt</t>
        </is>
      </c>
      <c r="X1" s="3" t="inlineStr">
        <is>
          <t>investment_band</t>
        </is>
      </c>
      <c r="Y1" s="3" t="inlineStr">
        <is>
          <t>gender_fit</t>
        </is>
      </c>
      <c r="Z1" s="3" t="inlineStr">
        <is>
          <t>life_stage</t>
        </is>
      </c>
      <c r="AA1" s="3" t="inlineStr">
        <is>
          <t>place</t>
        </is>
      </c>
      <c r="AB1" s="3" t="inlineStr">
        <is>
          <t>work_mode</t>
        </is>
      </c>
      <c r="AC1" s="3" t="inlineStr">
        <is>
          <t>time_needed</t>
        </is>
      </c>
      <c r="AD1" s="3" t="inlineStr">
        <is>
          <t>skill_level</t>
        </is>
      </c>
      <c r="AE1" s="3" t="inlineStr">
        <is>
          <t>end_marker</t>
        </is>
      </c>
    </row>
    <row r="2">
      <c r="A2">
        <f>ARRAYFORMULA(IFERROR(SPLIT(FILTER(Paste!A2:A,Paste!B2:B="OK")," | ",FALSE,FALSE)))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6" customWidth="1" min="3" max="3"/>
    <col width="70" customWidth="1" min="4" max="4"/>
    <col width="14" customWidth="1" min="5" max="5"/>
    <col width="10" customWidth="1" min="6" max="6"/>
    <col width="16" customWidth="1" min="7" max="7"/>
    <col width="36" customWidth="1" min="8" max="8"/>
  </cols>
  <sheetData>
    <row r="1">
      <c r="A1" s="3" t="inlineStr">
        <is>
          <t>Batch</t>
        </is>
      </c>
      <c r="B1" s="3" t="inlineStr">
        <is>
          <t>Category</t>
        </is>
      </c>
      <c r="C1" s="3" t="inlineStr">
        <is>
          <t>Category name</t>
        </is>
      </c>
      <c r="D1" s="3" t="inlineStr">
        <is>
          <t>Subcategories</t>
        </is>
      </c>
      <c r="E1" s="3" t="inlineStr">
        <is>
          <t>Account</t>
        </is>
      </c>
      <c r="F1" s="3" t="inlineStr">
        <is>
          <t>Status</t>
        </is>
      </c>
      <c r="G1" s="3" t="inlineStr">
        <is>
          <t>OK ideas (of 50)</t>
        </is>
      </c>
      <c r="H1" s="3" t="inlineStr">
        <is>
          <t>Notes</t>
        </is>
      </c>
    </row>
    <row r="2">
      <c r="A2" s="2" t="inlineStr">
        <is>
          <t>B001</t>
        </is>
      </c>
      <c r="B2" s="2" t="inlineStr">
        <is>
          <t>C001</t>
        </is>
      </c>
      <c r="C2" s="2" t="inlineStr">
        <is>
          <t>Work From Home Business Ideas</t>
        </is>
      </c>
      <c r="D2" s="2" t="inlineStr">
        <is>
          <t>Home Cooked Meal Subscription, After School Online Tuition, Catalog Reselling From Home, Home Visit Beauty Service, Website and Blog Writing</t>
        </is>
      </c>
      <c r="E2" s="2" t="inlineStr"/>
      <c r="F2" s="2" t="inlineStr">
        <is>
          <t>done</t>
        </is>
      </c>
      <c r="G2" s="2">
        <f>SUMPRODUCT((Paste!$B$2:$B$20000="OK")*REGEXMATCH(Paste!$C$2:$C$20000&amp;"","^C001-S0[1-5]-I"))</f>
        <v/>
      </c>
      <c r="H2" s="2" t="inlineStr">
        <is>
          <t>C001 S01 to S05 already in the repo</t>
        </is>
      </c>
    </row>
    <row r="3">
      <c r="A3" s="2" t="inlineStr">
        <is>
          <t>B002</t>
        </is>
      </c>
      <c r="B3" s="2" t="inlineStr">
        <is>
          <t>C001</t>
        </is>
      </c>
      <c r="C3" s="2" t="inlineStr">
        <is>
          <t>Work From Home Business Ideas</t>
        </is>
      </c>
      <c r="D3" s="2" t="inlineStr">
        <is>
          <t>Small Shop Page Handling, Homemade Candle and Soap, Remote Admin Support, Printable and Digital File Selling, Live Online Workshop</t>
        </is>
      </c>
      <c r="E3" s="2" t="inlineStr"/>
      <c r="F3" s="2" t="inlineStr">
        <is>
          <t>todo</t>
        </is>
      </c>
      <c r="G3" s="2">
        <f>SUMPRODUCT((Paste!$B$2:$B$20000="OK")*REGEXMATCH(Paste!$C$2:$C$20000&amp;"","^C001-S(0[6-9]|10)-I"))</f>
        <v/>
      </c>
      <c r="H3" s="2" t="inlineStr"/>
    </row>
    <row r="4">
      <c r="A4" s="2" t="inlineStr">
        <is>
          <t>B003</t>
        </is>
      </c>
      <c r="B4" s="2" t="inlineStr">
        <is>
          <t>C002</t>
        </is>
      </c>
      <c r="C4" s="2" t="inlineStr">
        <is>
          <t>Side Hustle Business Ideas</t>
        </is>
      </c>
      <c r="D4" s="2" t="inlineStr">
        <is>
          <t>Evening Tuition Side Work, Weekend Food Stall, Social App Product Reselling, Spare Time Design Service, Society Service Side Work</t>
        </is>
      </c>
      <c r="E4" s="2" t="inlineStr"/>
      <c r="F4" s="2" t="inlineStr">
        <is>
          <t>todo</t>
        </is>
      </c>
      <c r="G4" s="2">
        <f>SUMPRODUCT((Paste!$B$2:$B$20000="OK")*REGEXMATCH(Paste!$C$2:$C$20000&amp;"","^C002-S0[1-5]-I"))</f>
        <v/>
      </c>
      <c r="H4" s="2" t="inlineStr"/>
    </row>
    <row r="5">
      <c r="A5" s="2" t="inlineStr">
        <is>
          <t>B004</t>
        </is>
      </c>
      <c r="B5" s="2" t="inlineStr">
        <is>
          <t>C002</t>
        </is>
      </c>
      <c r="C5" s="2" t="inlineStr">
        <is>
          <t>Side Hustle Business Ideas</t>
        </is>
      </c>
      <c r="D5" s="2" t="inlineStr">
        <is>
          <t>Festival Season Extra Work, Delivery Shift Side Work, Spare Time Content Service, Home Baking Order Side Work, Local Shop Support Side Work</t>
        </is>
      </c>
      <c r="E5" s="2" t="inlineStr"/>
      <c r="F5" s="2" t="inlineStr">
        <is>
          <t>todo</t>
        </is>
      </c>
      <c r="G5" s="2">
        <f>SUMPRODUCT((Paste!$B$2:$B$20000="OK")*REGEXMATCH(Paste!$C$2:$C$20000&amp;"","^C002-S(0[6-9]|10)-I"))</f>
        <v/>
      </c>
      <c r="H5" s="2" t="inlineStr"/>
    </row>
    <row r="6">
      <c r="A6" s="2" t="inlineStr">
        <is>
          <t>B005</t>
        </is>
      </c>
      <c r="B6" s="2" t="inlineStr">
        <is>
          <t>C003</t>
        </is>
      </c>
      <c r="C6" s="2" t="inlineStr">
        <is>
          <t>Part Time Business Ideas</t>
        </is>
      </c>
      <c r="D6" s="2" t="inlineStr">
        <is>
          <t>Morning Meal Round, After Office Coaching Batch, Weekend Market Stall, Part Time Shop Accounts Help, Evening Hobby Batch</t>
        </is>
      </c>
      <c r="E6" s="2" t="inlineStr"/>
      <c r="F6" s="2" t="inlineStr">
        <is>
          <t>todo</t>
        </is>
      </c>
      <c r="G6" s="2">
        <f>SUMPRODUCT((Paste!$B$2:$B$20000="OK")*REGEXMATCH(Paste!$C$2:$C$20000&amp;"","^C003-S0[1-5]-I"))</f>
        <v/>
      </c>
      <c r="H6" s="2" t="inlineStr"/>
    </row>
    <row r="7">
      <c r="A7" s="2" t="inlineStr">
        <is>
          <t>B006</t>
        </is>
      </c>
      <c r="B7" s="2" t="inlineStr">
        <is>
          <t>C003</t>
        </is>
      </c>
      <c r="C7" s="2" t="inlineStr">
        <is>
          <t>Part Time Business Ideas</t>
        </is>
      </c>
      <c r="D7" s="2" t="inlineStr">
        <is>
          <t>Part Time Event Photography, Weekend Catering Order, Part Time Online Selling, School Gate Help Service, Part Time Repair Visit</t>
        </is>
      </c>
      <c r="E7" s="2" t="inlineStr"/>
      <c r="F7" s="2" t="inlineStr">
        <is>
          <t>todo</t>
        </is>
      </c>
      <c r="G7" s="2">
        <f>SUMPRODUCT((Paste!$B$2:$B$20000="OK")*REGEXMATCH(Paste!$C$2:$C$20000&amp;"","^C003-S(0[6-9]|10)-I"))</f>
        <v/>
      </c>
      <c r="H7" s="2" t="inlineStr"/>
    </row>
    <row r="8">
      <c r="A8" s="2" t="inlineStr">
        <is>
          <t>B007</t>
        </is>
      </c>
      <c r="B8" s="2" t="inlineStr">
        <is>
          <t>C004</t>
        </is>
      </c>
      <c r="C8" s="2" t="inlineStr">
        <is>
          <t>Online Business Ideas</t>
        </is>
      </c>
      <c r="D8" s="2" t="inlineStr">
        <is>
          <t>Own Brand Online Store, Marketplace Seller Account, Online Course Selling, Niche Information Website, Remote Client Service</t>
        </is>
      </c>
      <c r="E8" s="2" t="inlineStr"/>
      <c r="F8" s="2" t="inlineStr">
        <is>
          <t>todo</t>
        </is>
      </c>
      <c r="G8" s="2">
        <f>SUMPRODUCT((Paste!$B$2:$B$20000="OK")*REGEXMATCH(Paste!$C$2:$C$20000&amp;"","^C004-S0[1-5]-I"))</f>
        <v/>
      </c>
      <c r="H8" s="2" t="inlineStr"/>
    </row>
    <row r="9">
      <c r="A9" s="2" t="inlineStr">
        <is>
          <t>B008</t>
        </is>
      </c>
      <c r="B9" s="2" t="inlineStr">
        <is>
          <t>C004</t>
        </is>
      </c>
      <c r="C9" s="2" t="inlineStr">
        <is>
          <t>Online Business Ideas</t>
        </is>
      </c>
      <c r="D9" s="2" t="inlineStr">
        <is>
          <t>WhatsApp and Instagram Shop, Print on Demand Product, Paid Online Community, Digital Download Shop, Online Booking Service</t>
        </is>
      </c>
      <c r="E9" s="2" t="inlineStr"/>
      <c r="F9" s="2" t="inlineStr">
        <is>
          <t>todo</t>
        </is>
      </c>
      <c r="G9" s="2">
        <f>SUMPRODUCT((Paste!$B$2:$B$20000="OK")*REGEXMATCH(Paste!$C$2:$C$20000&amp;"","^C004-S(0[6-9]|10)-I"))</f>
        <v/>
      </c>
      <c r="H9" s="2" t="inlineStr"/>
    </row>
    <row r="10">
      <c r="A10" s="2" t="inlineStr">
        <is>
          <t>B009</t>
        </is>
      </c>
      <c r="B10" s="2" t="inlineStr">
        <is>
          <t>C005</t>
        </is>
      </c>
      <c r="C10" s="2" t="inlineStr">
        <is>
          <t>Home Based Business Ideas</t>
        </is>
      </c>
      <c r="D10" s="2" t="inlineStr">
        <is>
          <t>Home Tailoring Work, Home Pickle and Papad, Home Beauty Studio, Home Tuition Batch, Home Garment Making</t>
        </is>
      </c>
      <c r="E10" s="2" t="inlineStr"/>
      <c r="F10" s="2" t="inlineStr">
        <is>
          <t>todo</t>
        </is>
      </c>
      <c r="G10" s="2">
        <f>SUMPRODUCT((Paste!$B$2:$B$20000="OK")*REGEXMATCH(Paste!$C$2:$C$20000&amp;"","^C005-S0[1-5]-I"))</f>
        <v/>
      </c>
      <c r="H10" s="2" t="inlineStr"/>
    </row>
    <row r="11">
      <c r="A11" s="2" t="inlineStr">
        <is>
          <t>B010</t>
        </is>
      </c>
      <c r="B11" s="2" t="inlineStr">
        <is>
          <t>C005</t>
        </is>
      </c>
      <c r="C11" s="2" t="inlineStr">
        <is>
          <t>Home Based Business Ideas</t>
        </is>
      </c>
      <c r="D11" s="2" t="inlineStr">
        <is>
          <t>Home Packed Food Brand, Home Child Care, Home Jewellery Making, Home Computer Class, Home Wash and Iron</t>
        </is>
      </c>
      <c r="E11" s="2" t="inlineStr"/>
      <c r="F11" s="2" t="inlineStr">
        <is>
          <t>todo</t>
        </is>
      </c>
      <c r="G11" s="2">
        <f>SUMPRODUCT((Paste!$B$2:$B$20000="OK")*REGEXMATCH(Paste!$C$2:$C$20000&amp;"","^C005-S(0[6-9]|10)-I"))</f>
        <v/>
      </c>
      <c r="H11" s="2" t="inlineStr"/>
    </row>
    <row r="12">
      <c r="A12" s="2" t="inlineStr">
        <is>
          <t>B011</t>
        </is>
      </c>
      <c r="B12" s="2" t="inlineStr">
        <is>
          <t>C006</t>
        </is>
      </c>
      <c r="C12" s="2" t="inlineStr">
        <is>
          <t>Women Friendly Business Ideas</t>
        </is>
      </c>
      <c r="D12" s="2" t="inlineStr">
        <is>
          <t>Women Led Home Food, Women Led Beauty Work, Women Led Stitching Work, Homemaker Reselling, Women Led Teaching From Home</t>
        </is>
      </c>
      <c r="E12" s="2" t="inlineStr"/>
      <c r="F12" s="2" t="inlineStr">
        <is>
          <t>todo</t>
        </is>
      </c>
      <c r="G12" s="2">
        <f>SUMPRODUCT((Paste!$B$2:$B$20000="OK")*REGEXMATCH(Paste!$C$2:$C$20000&amp;"","^C006-S0[1-5]-I"))</f>
        <v/>
      </c>
      <c r="H12" s="2" t="inlineStr"/>
    </row>
    <row r="13">
      <c r="A13" s="2" t="inlineStr">
        <is>
          <t>B012</t>
        </is>
      </c>
      <c r="B13" s="2" t="inlineStr">
        <is>
          <t>C006</t>
        </is>
      </c>
      <c r="C13" s="2" t="inlineStr">
        <is>
          <t>Women Friendly Business Ideas</t>
        </is>
      </c>
      <c r="D13" s="2" t="inlineStr">
        <is>
          <t>Women Led Craft Brand, Women Group Catering, Women Wellness Service, Women Led Kids Class, Homemaker Online Service</t>
        </is>
      </c>
      <c r="E13" s="2" t="inlineStr"/>
      <c r="F13" s="2" t="inlineStr">
        <is>
          <t>todo</t>
        </is>
      </c>
      <c r="G13" s="2">
        <f>SUMPRODUCT((Paste!$B$2:$B$20000="OK")*REGEXMATCH(Paste!$C$2:$C$20000&amp;"","^C006-S(0[6-9]|10)-I"))</f>
        <v/>
      </c>
      <c r="H13" s="2" t="inlineStr"/>
    </row>
    <row r="14">
      <c r="A14" s="2" t="inlineStr">
        <is>
          <t>B013</t>
        </is>
      </c>
      <c r="B14" s="2" t="inlineStr">
        <is>
          <t>C007</t>
        </is>
      </c>
      <c r="C14" s="2" t="inlineStr">
        <is>
          <t>Student Business Ideas</t>
        </is>
      </c>
      <c r="D14" s="2" t="inlineStr">
        <is>
          <t>Study Notes Selling, Student Freelance Skill, College Event Coverage, Student Social Selling, Peer Tutoring by Students</t>
        </is>
      </c>
      <c r="E14" s="2" t="inlineStr"/>
      <c r="F14" s="2" t="inlineStr">
        <is>
          <t>todo</t>
        </is>
      </c>
      <c r="G14" s="2">
        <f>SUMPRODUCT((Paste!$B$2:$B$20000="OK")*REGEXMATCH(Paste!$C$2:$C$20000&amp;"","^C007-S0[1-5]-I"))</f>
        <v/>
      </c>
      <c r="H14" s="2" t="inlineStr"/>
    </row>
    <row r="15">
      <c r="A15" s="2" t="inlineStr">
        <is>
          <t>B014</t>
        </is>
      </c>
      <c r="B15" s="2" t="inlineStr">
        <is>
          <t>C007</t>
        </is>
      </c>
      <c r="C15" s="2" t="inlineStr">
        <is>
          <t>Student Business Ideas</t>
        </is>
      </c>
      <c r="D15" s="2" t="inlineStr">
        <is>
          <t>Campus Snack Selling, Student Creator Channel, College Fest Stall, Student Page Handling, Campus Print and Design Service</t>
        </is>
      </c>
      <c r="E15" s="2" t="inlineStr"/>
      <c r="F15" s="2" t="inlineStr">
        <is>
          <t>todo</t>
        </is>
      </c>
      <c r="G15" s="2">
        <f>SUMPRODUCT((Paste!$B$2:$B$20000="OK")*REGEXMATCH(Paste!$C$2:$C$20000&amp;"","^C007-S(0[6-9]|10)-I"))</f>
        <v/>
      </c>
      <c r="H15" s="2" t="inlineStr"/>
    </row>
    <row r="16">
      <c r="A16" s="2" t="inlineStr">
        <is>
          <t>B015</t>
        </is>
      </c>
      <c r="B16" s="2" t="inlineStr">
        <is>
          <t>C008</t>
        </is>
      </c>
      <c r="C16" s="2" t="inlineStr">
        <is>
          <t>Senior Citizen Business Ideas</t>
        </is>
      </c>
      <c r="D16" s="2" t="inlineStr">
        <is>
          <t>Retired Teacher Class, Experience Based Advice Service, Senior Home Kitchen Brand, Retired Society Service, Hobby Teaching by Seniors</t>
        </is>
      </c>
      <c r="E16" s="2" t="inlineStr"/>
      <c r="F16" s="2" t="inlineStr">
        <is>
          <t>todo</t>
        </is>
      </c>
      <c r="G16" s="2">
        <f>SUMPRODUCT((Paste!$B$2:$B$20000="OK")*REGEXMATCH(Paste!$C$2:$C$20000&amp;"","^C008-S0[1-5]-I"))</f>
        <v/>
      </c>
      <c r="H16" s="2" t="inlineStr"/>
    </row>
    <row r="17">
      <c r="A17" s="2" t="inlineStr">
        <is>
          <t>B016</t>
        </is>
      </c>
      <c r="B17" s="2" t="inlineStr">
        <is>
          <t>C008</t>
        </is>
      </c>
      <c r="C17" s="2" t="inlineStr">
        <is>
          <t>Senior Citizen Business Ideas</t>
        </is>
      </c>
      <c r="D17" s="2" t="inlineStr">
        <is>
          <t>Senior Plant Nursery, Retired Accounts Help, Senior Writing and Editing, Senior Led Local Walks, Career Mentoring by Seniors</t>
        </is>
      </c>
      <c r="E17" s="2" t="inlineStr"/>
      <c r="F17" s="2" t="inlineStr">
        <is>
          <t>todo</t>
        </is>
      </c>
      <c r="G17" s="2">
        <f>SUMPRODUCT((Paste!$B$2:$B$20000="OK")*REGEXMATCH(Paste!$C$2:$C$20000&amp;"","^C008-S(0[6-9]|10)-I"))</f>
        <v/>
      </c>
      <c r="H17" s="2" t="inlineStr"/>
    </row>
    <row r="18">
      <c r="A18" s="2" t="inlineStr">
        <is>
          <t>B017</t>
        </is>
      </c>
      <c r="B18" s="2" t="inlineStr">
        <is>
          <t>C009</t>
        </is>
      </c>
      <c r="C18" s="2" t="inlineStr">
        <is>
          <t>Village and Small Town Business Ideas</t>
        </is>
      </c>
      <c r="D18" s="2" t="inlineStr">
        <is>
          <t>Village Daily Needs Shop, Small Town Tuition Centre, Village Milk Collection, Small Town Beauty Parlour, Farm Input Retail Shop</t>
        </is>
      </c>
      <c r="E18" s="2" t="inlineStr"/>
      <c r="F18" s="2" t="inlineStr">
        <is>
          <t>done</t>
        </is>
      </c>
      <c r="G18" s="2">
        <f>SUMPRODUCT((Paste!$B$2:$B$20000="OK")*REGEXMATCH(Paste!$C$2:$C$20000&amp;"","^C009-S0[1-5]-I"))</f>
        <v/>
      </c>
      <c r="H18" s="2" t="inlineStr">
        <is>
          <t>C009 already in the repo</t>
        </is>
      </c>
    </row>
    <row r="19">
      <c r="A19" s="2" t="inlineStr">
        <is>
          <t>B018</t>
        </is>
      </c>
      <c r="B19" s="2" t="inlineStr">
        <is>
          <t>C009</t>
        </is>
      </c>
      <c r="C19" s="2" t="inlineStr">
        <is>
          <t>Village and Small Town Business Ideas</t>
        </is>
      </c>
      <c r="D19" s="2" t="inlineStr">
        <is>
          <t>Village Spice and Flour Mill, Small Town Phone Repair, Village Function Catering, Town Two Wheeler Workshop, Small Town Passenger Transport</t>
        </is>
      </c>
      <c r="E19" s="2" t="inlineStr"/>
      <c r="F19" s="2" t="inlineStr">
        <is>
          <t>done</t>
        </is>
      </c>
      <c r="G19" s="2">
        <f>SUMPRODUCT((Paste!$B$2:$B$20000="OK")*REGEXMATCH(Paste!$C$2:$C$20000&amp;"","^C009-S(0[6-9]|10)-I"))</f>
        <v/>
      </c>
      <c r="H19" s="2" t="inlineStr">
        <is>
          <t>C009 already in the repo</t>
        </is>
      </c>
    </row>
    <row r="20">
      <c r="A20" s="2" t="inlineStr">
        <is>
          <t>B019</t>
        </is>
      </c>
      <c r="B20" s="2" t="inlineStr">
        <is>
          <t>C010</t>
        </is>
      </c>
      <c r="C20" s="2" t="inlineStr">
        <is>
          <t>Local Service Business Ideas</t>
        </is>
      </c>
      <c r="D20" s="2" t="inlineStr">
        <is>
          <t>Neighbourhood Home Help, Building Upkeep Service, Local Parcel Movement, Doorstep Grooming Service, Local Print and Copy Shop</t>
        </is>
      </c>
      <c r="E20" s="2" t="inlineStr"/>
      <c r="F20" s="2" t="inlineStr">
        <is>
          <t>todo</t>
        </is>
      </c>
      <c r="G20" s="2">
        <f>SUMPRODUCT((Paste!$B$2:$B$20000="OK")*REGEXMATCH(Paste!$C$2:$C$20000&amp;"","^C010-S0[1-5]-I"))</f>
        <v/>
      </c>
      <c r="H20" s="2" t="inlineStr"/>
    </row>
    <row r="21">
      <c r="A21" s="2" t="inlineStr">
        <is>
          <t>B020</t>
        </is>
      </c>
      <c r="B21" s="2" t="inlineStr">
        <is>
          <t>C010</t>
        </is>
      </c>
      <c r="C21" s="2" t="inlineStr">
        <is>
          <t>Local Service Business Ideas</t>
        </is>
      </c>
      <c r="D21" s="2" t="inlineStr">
        <is>
          <t>Nearby Appliance Care, Local Tutor Network, Area Meal Delivery Kitchen, Local Function Support, Market Day Service</t>
        </is>
      </c>
      <c r="E21" s="2" t="inlineStr"/>
      <c r="F21" s="2" t="inlineStr">
        <is>
          <t>todo</t>
        </is>
      </c>
      <c r="G21" s="2">
        <f>SUMPRODUCT((Paste!$B$2:$B$20000="OK")*REGEXMATCH(Paste!$C$2:$C$20000&amp;"","^C010-S(0[6-9]|10)-I"))</f>
        <v/>
      </c>
      <c r="H21" s="2" t="inlineStr"/>
    </row>
    <row r="22">
      <c r="A22" s="2" t="inlineStr">
        <is>
          <t>B021</t>
        </is>
      </c>
      <c r="B22" s="2" t="inlineStr">
        <is>
          <t>C011</t>
        </is>
      </c>
      <c r="C22" s="2" t="inlineStr">
        <is>
          <t>Skill Based Business Ideas</t>
        </is>
      </c>
      <c r="D22" s="2" t="inlineStr">
        <is>
          <t>Trade Skill Site Work, Paid Skill Teaching, Maker Skill Product, Repair Skill Visit, Beauty Skill Booking</t>
        </is>
      </c>
      <c r="E22" s="2" t="inlineStr"/>
      <c r="F22" s="2" t="inlineStr">
        <is>
          <t>todo</t>
        </is>
      </c>
      <c r="G22" s="2">
        <f>SUMPRODUCT((Paste!$B$2:$B$20000="OK")*REGEXMATCH(Paste!$C$2:$C$20000&amp;"","^C011-S0[1-5]-I"))</f>
        <v/>
      </c>
      <c r="H22" s="2" t="inlineStr"/>
    </row>
    <row r="23">
      <c r="A23" s="2" t="inlineStr">
        <is>
          <t>B022</t>
        </is>
      </c>
      <c r="B23" s="2" t="inlineStr">
        <is>
          <t>C011</t>
        </is>
      </c>
      <c r="C23" s="2" t="inlineStr">
        <is>
          <t>Skill Based Business Ideas</t>
        </is>
      </c>
      <c r="D23" s="2" t="inlineStr">
        <is>
          <t>Cooking Skill Order, Digital Skill Client Work, Language Skill Class, Fitness Skill Session, Craft Skill Product</t>
        </is>
      </c>
      <c r="E23" s="2" t="inlineStr"/>
      <c r="F23" s="2" t="inlineStr">
        <is>
          <t>todo</t>
        </is>
      </c>
      <c r="G23" s="2">
        <f>SUMPRODUCT((Paste!$B$2:$B$20000="OK")*REGEXMATCH(Paste!$C$2:$C$20000&amp;"","^C011-S(0[6-9]|10)-I"))</f>
        <v/>
      </c>
      <c r="H23" s="2" t="inlineStr"/>
    </row>
    <row r="24">
      <c r="A24" s="2" t="inlineStr">
        <is>
          <t>B023</t>
        </is>
      </c>
      <c r="B24" s="2" t="inlineStr">
        <is>
          <t>C012</t>
        </is>
      </c>
      <c r="C24" s="2" t="inlineStr">
        <is>
          <t>Freelance Business Ideas</t>
        </is>
      </c>
      <c r="D24" s="2" t="inlineStr">
        <is>
          <t>Freelance Article Client, Freelance Design Project, Freelance Video Edit, Freelance Website Project, Freelance Marketing Retainer</t>
        </is>
      </c>
      <c r="E24" s="2" t="inlineStr"/>
      <c r="F24" s="2" t="inlineStr">
        <is>
          <t>todo</t>
        </is>
      </c>
      <c r="G24" s="2">
        <f>SUMPRODUCT((Paste!$B$2:$B$20000="OK")*REGEXMATCH(Paste!$C$2:$C$20000&amp;"","^C012-S0[1-5]-I"))</f>
        <v/>
      </c>
      <c r="H24" s="2" t="inlineStr"/>
    </row>
    <row r="25">
      <c r="A25" s="2" t="inlineStr">
        <is>
          <t>B024</t>
        </is>
      </c>
      <c r="B25" s="2" t="inlineStr">
        <is>
          <t>C012</t>
        </is>
      </c>
      <c r="C25" s="2" t="inlineStr">
        <is>
          <t>Freelance Business Ideas</t>
        </is>
      </c>
      <c r="D25" s="2" t="inlineStr">
        <is>
          <t>Freelance Translation Work, Freelance Voice Over, Freelance Coding Project, Freelance Remote Support, Freelance Advice Call</t>
        </is>
      </c>
      <c r="E25" s="2" t="inlineStr"/>
      <c r="F25" s="2" t="inlineStr">
        <is>
          <t>todo</t>
        </is>
      </c>
      <c r="G25" s="2">
        <f>SUMPRODUCT((Paste!$B$2:$B$20000="OK")*REGEXMATCH(Paste!$C$2:$C$20000&amp;"","^C012-S(0[6-9]|10)-I"))</f>
        <v/>
      </c>
      <c r="H25" s="2" t="inlineStr"/>
    </row>
    <row r="26">
      <c r="A26" s="2" t="inlineStr">
        <is>
          <t>B025</t>
        </is>
      </c>
      <c r="B26" s="2" t="inlineStr">
        <is>
          <t>C013</t>
        </is>
      </c>
      <c r="C26" s="2" t="inlineStr">
        <is>
          <t>Reselling Business Ideas</t>
        </is>
      </c>
      <c r="D26" s="2" t="inlineStr">
        <is>
          <t>Fashion Catalog Reselling, Beauty Item Reselling, Home Utility Reselling, Kids Item Reselling, WhatsApp Group Reselling</t>
        </is>
      </c>
      <c r="E26" s="2" t="inlineStr"/>
      <c r="F26" s="2" t="inlineStr">
        <is>
          <t>todo</t>
        </is>
      </c>
      <c r="G26" s="2">
        <f>SUMPRODUCT((Paste!$B$2:$B$20000="OK")*REGEXMATCH(Paste!$C$2:$C$20000&amp;"","^C013-S0[1-5]-I"))</f>
        <v/>
      </c>
      <c r="H26" s="2" t="inlineStr"/>
    </row>
    <row r="27">
      <c r="A27" s="2" t="inlineStr">
        <is>
          <t>B026</t>
        </is>
      </c>
      <c r="B27" s="2" t="inlineStr">
        <is>
          <t>C013</t>
        </is>
      </c>
      <c r="C27" s="2" t="inlineStr">
        <is>
          <t>Reselling Business Ideas</t>
        </is>
      </c>
      <c r="D27" s="2" t="inlineStr">
        <is>
          <t>Closet and Thrift Reselling, Wholesale Lot to Local Sale, Festival Goods Reselling, Hostel Needs Reselling, Daily Needs Basket Reselling</t>
        </is>
      </c>
      <c r="E27" s="2" t="inlineStr"/>
      <c r="F27" s="2" t="inlineStr">
        <is>
          <t>todo</t>
        </is>
      </c>
      <c r="G27" s="2">
        <f>SUMPRODUCT((Paste!$B$2:$B$20000="OK")*REGEXMATCH(Paste!$C$2:$C$20000&amp;"","^C013-S(0[6-9]|10)-I"))</f>
        <v/>
      </c>
      <c r="H27" s="2" t="inlineStr"/>
    </row>
    <row r="28">
      <c r="A28" s="2" t="inlineStr">
        <is>
          <t>B027</t>
        </is>
      </c>
      <c r="B28" s="2" t="inlineStr">
        <is>
          <t>C014</t>
        </is>
      </c>
      <c r="C28" s="2" t="inlineStr">
        <is>
          <t>Childcare and Parenting Support Business Ideas</t>
        </is>
      </c>
      <c r="D28" s="2" t="inlineStr">
        <is>
          <t>Home Daycare Group, After School Child Watch, Baby Care Visit Service, Parent Child Activity Batch, Kids Birthday Support</t>
        </is>
      </c>
      <c r="E28" s="2" t="inlineStr"/>
      <c r="F28" s="2" t="inlineStr">
        <is>
          <t>todo</t>
        </is>
      </c>
      <c r="G28" s="2">
        <f>SUMPRODUCT((Paste!$B$2:$B$20000="OK")*REGEXMATCH(Paste!$C$2:$C$20000&amp;"","^C014-S0[1-5]-I"))</f>
        <v/>
      </c>
      <c r="H28" s="2" t="inlineStr"/>
    </row>
    <row r="29">
      <c r="A29" s="2" t="inlineStr">
        <is>
          <t>B028</t>
        </is>
      </c>
      <c r="B29" s="2" t="inlineStr">
        <is>
          <t>C014</t>
        </is>
      </c>
      <c r="C29" s="2" t="inlineStr">
        <is>
          <t>Childcare and Parenting Support Business Ideas</t>
        </is>
      </c>
      <c r="D29" s="2" t="inlineStr">
        <is>
          <t>School Van Route, Tuition With Child Watch, New Mother Home Support, Kids Hobby Group, Parent Learning Kit</t>
        </is>
      </c>
      <c r="E29" s="2" t="inlineStr"/>
      <c r="F29" s="2" t="inlineStr">
        <is>
          <t>todo</t>
        </is>
      </c>
      <c r="G29" s="2">
        <f>SUMPRODUCT((Paste!$B$2:$B$20000="OK")*REGEXMATCH(Paste!$C$2:$C$20000&amp;"","^C014-S(0[6-9]|10)-I"))</f>
        <v/>
      </c>
      <c r="H29" s="2" t="inlineStr"/>
    </row>
    <row r="30">
      <c r="A30" s="2" t="inlineStr">
        <is>
          <t>B029</t>
        </is>
      </c>
      <c r="B30" s="2" t="inlineStr">
        <is>
          <t>C015</t>
        </is>
      </c>
      <c r="C30" s="2" t="inlineStr">
        <is>
          <t>Printing and Signage Business Ideas</t>
        </is>
      </c>
      <c r="D30" s="2" t="inlineStr">
        <is>
          <t>Copy and Print Shop, Wedding Card Print, Banner and Flex Print, Custom Apparel Print, Label and Sticker Print</t>
        </is>
      </c>
      <c r="E30" s="2" t="inlineStr"/>
      <c r="F30" s="2" t="inlineStr">
        <is>
          <t>todo</t>
        </is>
      </c>
      <c r="G30" s="2">
        <f>SUMPRODUCT((Paste!$B$2:$B$20000="OK")*REGEXMATCH(Paste!$C$2:$C$20000&amp;"","^C015-S0[1-5]-I"))</f>
        <v/>
      </c>
      <c r="H30" s="2" t="inlineStr"/>
    </row>
    <row r="31">
      <c r="A31" s="2" t="inlineStr">
        <is>
          <t>B030</t>
        </is>
      </c>
      <c r="B31" s="2" t="inlineStr">
        <is>
          <t>C015</t>
        </is>
      </c>
      <c r="C31" s="2" t="inlineStr">
        <is>
          <t>Printing and Signage Business Ideas</t>
        </is>
      </c>
      <c r="D31" s="2" t="inlineStr">
        <is>
          <t>Name Plate and Stamp Shop, Photo Book Print, School Print Job, Vehicle Sticker and Graphics, Pack Print for Small Brands</t>
        </is>
      </c>
      <c r="E31" s="2" t="inlineStr"/>
      <c r="F31" s="2" t="inlineStr">
        <is>
          <t>todo</t>
        </is>
      </c>
      <c r="G31" s="2">
        <f>SUMPRODUCT((Paste!$B$2:$B$20000="OK")*REGEXMATCH(Paste!$C$2:$C$20000&amp;"","^C015-S(0[6-9]|10)-I"))</f>
        <v/>
      </c>
      <c r="H31" s="2" t="inlineStr"/>
    </row>
    <row r="32">
      <c r="A32" s="2" t="inlineStr">
        <is>
          <t>B031</t>
        </is>
      </c>
      <c r="B32" s="2" t="inlineStr">
        <is>
          <t>C016</t>
        </is>
      </c>
      <c r="C32" s="2" t="inlineStr">
        <is>
          <t>Food Business Ideas</t>
        </is>
      </c>
      <c r="D32" s="2" t="inlineStr">
        <is>
          <t>Daily Dabba Supply, Namkeen Making and Packing, Regional Thali Meal, Office Lunch Contract, Festival Food Order</t>
        </is>
      </c>
      <c r="E32" s="2" t="inlineStr"/>
      <c r="F32" s="2" t="inlineStr">
        <is>
          <t>todo</t>
        </is>
      </c>
      <c r="G32" s="2">
        <f>SUMPRODUCT((Paste!$B$2:$B$20000="OK")*REGEXMATCH(Paste!$C$2:$C$20000&amp;"","^C016-S0[1-5]-I"))</f>
        <v/>
      </c>
      <c r="H32" s="2" t="inlineStr"/>
    </row>
    <row r="33">
      <c r="A33" s="2" t="inlineStr">
        <is>
          <t>B032</t>
        </is>
      </c>
      <c r="B33" s="2" t="inlineStr">
        <is>
          <t>C016</t>
        </is>
      </c>
      <c r="C33" s="2" t="inlineStr">
        <is>
          <t>Food Business Ideas</t>
        </is>
      </c>
      <c r="D33" s="2" t="inlineStr">
        <is>
          <t>Special Diet Meal Kitchen, Night Eatery Food, House Party Food Order, Travel Stop Food, Hostel and Canteen Meal</t>
        </is>
      </c>
      <c r="E33" s="2" t="inlineStr"/>
      <c r="F33" s="2" t="inlineStr">
        <is>
          <t>todo</t>
        </is>
      </c>
      <c r="G33" s="2">
        <f>SUMPRODUCT((Paste!$B$2:$B$20000="OK")*REGEXMATCH(Paste!$C$2:$C$20000&amp;"","^C016-S(0[6-9]|10)-I"))</f>
        <v/>
      </c>
      <c r="H33" s="2" t="inlineStr"/>
    </row>
    <row r="34">
      <c r="A34" s="2" t="inlineStr">
        <is>
          <t>B033</t>
        </is>
      </c>
      <c r="B34" s="2" t="inlineStr">
        <is>
          <t>C017</t>
        </is>
      </c>
      <c r="C34" s="2" t="inlineStr">
        <is>
          <t>Home Kitchen Food Business Ideas</t>
        </is>
      </c>
      <c r="D34" s="2" t="inlineStr">
        <is>
          <t>Homemade Pickle Brand, Papad Making at Home, Home Spice Mix Brand, Homemade Sweet Box, Batter and Ready Mix</t>
        </is>
      </c>
      <c r="E34" s="2" t="inlineStr"/>
      <c r="F34" s="2" t="inlineStr">
        <is>
          <t>todo</t>
        </is>
      </c>
      <c r="G34" s="2">
        <f>SUMPRODUCT((Paste!$B$2:$B$20000="OK")*REGEXMATCH(Paste!$C$2:$C$20000&amp;"","^C017-S0[1-5]-I"))</f>
        <v/>
      </c>
      <c r="H34" s="2" t="inlineStr"/>
    </row>
    <row r="35">
      <c r="A35" s="2" t="inlineStr">
        <is>
          <t>B034</t>
        </is>
      </c>
      <c r="B35" s="2" t="inlineStr">
        <is>
          <t>C017</t>
        </is>
      </c>
      <c r="C35" s="2" t="inlineStr">
        <is>
          <t>Home Kitchen Food Business Ideas</t>
        </is>
      </c>
      <c r="D35" s="2" t="inlineStr">
        <is>
          <t>Home Chocolate Making, Dry Snack Packing at Home, Chutney and Sauce Making, Festival Food Hamper, Single Dish Home Kitchen</t>
        </is>
      </c>
      <c r="E35" s="2" t="inlineStr"/>
      <c r="F35" s="2" t="inlineStr">
        <is>
          <t>todo</t>
        </is>
      </c>
      <c r="G35" s="2">
        <f>SUMPRODUCT((Paste!$B$2:$B$20000="OK")*REGEXMATCH(Paste!$C$2:$C$20000&amp;"","^C017-S(0[6-9]|10)-I"))</f>
        <v/>
      </c>
      <c r="H35" s="2" t="inlineStr"/>
    </row>
    <row r="36">
      <c r="A36" s="2" t="inlineStr">
        <is>
          <t>B035</t>
        </is>
      </c>
      <c r="B36" s="2" t="inlineStr">
        <is>
          <t>C018</t>
        </is>
      </c>
      <c r="C36" s="2" t="inlineStr">
        <is>
          <t>Street Food Business Ideas</t>
        </is>
      </c>
      <c r="D36" s="2" t="inlineStr">
        <is>
          <t>Chaat and Snack Cart, Momos and Dumpling Stall, Roll and Wrap Stall, South Indian Tiffin Stall, Juice and Shake Cart</t>
        </is>
      </c>
      <c r="E36" s="2" t="inlineStr"/>
      <c r="F36" s="2" t="inlineStr">
        <is>
          <t>todo</t>
        </is>
      </c>
      <c r="G36" s="2">
        <f>SUMPRODUCT((Paste!$B$2:$B$20000="OK")*REGEXMATCH(Paste!$C$2:$C$20000&amp;"","^C018-S0[1-5]-I"))</f>
        <v/>
      </c>
      <c r="H36" s="2" t="inlineStr"/>
    </row>
    <row r="37">
      <c r="A37" s="2" t="inlineStr">
        <is>
          <t>B036</t>
        </is>
      </c>
      <c r="B37" s="2" t="inlineStr">
        <is>
          <t>C018</t>
        </is>
      </c>
      <c r="C37" s="2" t="inlineStr">
        <is>
          <t>Street Food Business Ideas</t>
        </is>
      </c>
      <c r="D37" s="2" t="inlineStr">
        <is>
          <t>Tea Stall, Indo Chinese Stall, Evening Fry Snack Stall, Egg and Non Veg Street Stall, Seasonal Street Snack</t>
        </is>
      </c>
      <c r="E37" s="2" t="inlineStr"/>
      <c r="F37" s="2" t="inlineStr">
        <is>
          <t>todo</t>
        </is>
      </c>
      <c r="G37" s="2">
        <f>SUMPRODUCT((Paste!$B$2:$B$20000="OK")*REGEXMATCH(Paste!$C$2:$C$20000&amp;"","^C018-S(0[6-9]|10)-I"))</f>
        <v/>
      </c>
      <c r="H37" s="2" t="inlineStr"/>
    </row>
    <row r="38">
      <c r="A38" s="2" t="inlineStr">
        <is>
          <t>B037</t>
        </is>
      </c>
      <c r="B38" s="2" t="inlineStr">
        <is>
          <t>C019</t>
        </is>
      </c>
      <c r="C38" s="2" t="inlineStr">
        <is>
          <t>Bakery and Confectionery Business Ideas</t>
        </is>
      </c>
      <c r="D38" s="2" t="inlineStr">
        <is>
          <t>Custom Celebration Cake, Bread and Bun Bakery, Cookie and Biscuit Batch, Eggless Bake House, Dessert Box Bakery</t>
        </is>
      </c>
      <c r="E38" s="2" t="inlineStr"/>
      <c r="F38" s="2" t="inlineStr">
        <is>
          <t>todo</t>
        </is>
      </c>
      <c r="G38" s="2">
        <f>SUMPRODUCT((Paste!$B$2:$B$20000="OK")*REGEXMATCH(Paste!$C$2:$C$20000&amp;"","^C019-S0[1-5]-I"))</f>
        <v/>
      </c>
      <c r="H38" s="2" t="inlineStr"/>
    </row>
    <row r="39">
      <c r="A39" s="2" t="inlineStr">
        <is>
          <t>B038</t>
        </is>
      </c>
      <c r="B39" s="2" t="inlineStr">
        <is>
          <t>C019</t>
        </is>
      </c>
      <c r="C39" s="2" t="inlineStr">
        <is>
          <t>Bakery and Confectionery Business Ideas</t>
        </is>
      </c>
      <c r="D39" s="2" t="inlineStr">
        <is>
          <t>Bakery Supply to Cafes, Wedding Dessert Table, Millet and Healthy Bake, Shop Counter Bakery, Festival Gift Bake</t>
        </is>
      </c>
      <c r="E39" s="2" t="inlineStr"/>
      <c r="F39" s="2" t="inlineStr">
        <is>
          <t>todo</t>
        </is>
      </c>
      <c r="G39" s="2">
        <f>SUMPRODUCT((Paste!$B$2:$B$20000="OK")*REGEXMATCH(Paste!$C$2:$C$20000&amp;"","^C019-S(0[6-9]|10)-I"))</f>
        <v/>
      </c>
      <c r="H39" s="2" t="inlineStr"/>
    </row>
    <row r="40">
      <c r="A40" s="2" t="inlineStr">
        <is>
          <t>B039</t>
        </is>
      </c>
      <c r="B40" s="2" t="inlineStr">
        <is>
          <t>C020</t>
        </is>
      </c>
      <c r="C40" s="2" t="inlineStr">
        <is>
          <t>Catering Business Ideas</t>
        </is>
      </c>
      <c r="D40" s="2" t="inlineStr">
        <is>
          <t>Wedding Meal Catering, Small House Party Catering, Office Gathering Catering, Religious Function Meal, Live Food Counter</t>
        </is>
      </c>
      <c r="E40" s="2" t="inlineStr"/>
      <c r="F40" s="2" t="inlineStr">
        <is>
          <t>todo</t>
        </is>
      </c>
      <c r="G40" s="2">
        <f>SUMPRODUCT((Paste!$B$2:$B$20000="OK")*REGEXMATCH(Paste!$C$2:$C$20000&amp;"","^C020-S0[1-5]-I"))</f>
        <v/>
      </c>
      <c r="H40" s="2" t="inlineStr"/>
    </row>
    <row r="41">
      <c r="A41" s="2" t="inlineStr">
        <is>
          <t>B040</t>
        </is>
      </c>
      <c r="B41" s="2" t="inlineStr">
        <is>
          <t>C020</t>
        </is>
      </c>
      <c r="C41" s="2" t="inlineStr">
        <is>
          <t>Catering Business Ideas</t>
        </is>
      </c>
      <c r="D41" s="2" t="inlineStr">
        <is>
          <t>Pure Vegetarian Catering, Regional Cuisine Catering, Reception Snack Catering, Outdoor Function Meal, Bulk Meal Contract</t>
        </is>
      </c>
      <c r="E41" s="2" t="inlineStr"/>
      <c r="F41" s="2" t="inlineStr">
        <is>
          <t>todo</t>
        </is>
      </c>
      <c r="G41" s="2">
        <f>SUMPRODUCT((Paste!$B$2:$B$20000="OK")*REGEXMATCH(Paste!$C$2:$C$20000&amp;"","^C020-S(0[6-9]|10)-I"))</f>
        <v/>
      </c>
      <c r="H41" s="2" t="inlineStr"/>
    </row>
    <row r="42">
      <c r="A42" s="2" t="inlineStr">
        <is>
          <t>B041</t>
        </is>
      </c>
      <c r="B42" s="2" t="inlineStr">
        <is>
          <t>C021</t>
        </is>
      </c>
      <c r="C42" s="2" t="inlineStr">
        <is>
          <t>Cloud Kitchen Business Ideas</t>
        </is>
      </c>
      <c r="D42" s="2" t="inlineStr">
        <is>
          <t>Single Cuisine Delivery Kitchen, Biryani Delivery Kitchen, Grain Bowl Delivery Kitchen, Breakfast Delivery Kitchen, Late Night Delivery Kitchen</t>
        </is>
      </c>
      <c r="E42" s="2" t="inlineStr"/>
      <c r="F42" s="2" t="inlineStr">
        <is>
          <t>todo</t>
        </is>
      </c>
      <c r="G42" s="2">
        <f>SUMPRODUCT((Paste!$B$2:$B$20000="OK")*REGEXMATCH(Paste!$C$2:$C$20000&amp;"","^C021-S0[1-5]-I"))</f>
        <v/>
      </c>
      <c r="H42" s="2" t="inlineStr"/>
    </row>
    <row r="43">
      <c r="A43" s="2" t="inlineStr">
        <is>
          <t>B042</t>
        </is>
      </c>
      <c r="B43" s="2" t="inlineStr">
        <is>
          <t>C021</t>
        </is>
      </c>
      <c r="C43" s="2" t="inlineStr">
        <is>
          <t>Cloud Kitchen Business Ideas</t>
        </is>
      </c>
      <c r="D43" s="2" t="inlineStr">
        <is>
          <t>Combo Plate Delivery Kitchen, Thali Delivery Kitchen, Dessert Delivery Kitchen, Shared Kitchen Multi Brand, Society Area Delivery Kitchen</t>
        </is>
      </c>
      <c r="E43" s="2" t="inlineStr"/>
      <c r="F43" s="2" t="inlineStr">
        <is>
          <t>todo</t>
        </is>
      </c>
      <c r="G43" s="2">
        <f>SUMPRODUCT((Paste!$B$2:$B$20000="OK")*REGEXMATCH(Paste!$C$2:$C$20000&amp;"","^C021-S(0[6-9]|10)-I"))</f>
        <v/>
      </c>
      <c r="H43" s="2" t="inlineStr"/>
    </row>
    <row r="44">
      <c r="A44" s="2" t="inlineStr">
        <is>
          <t>B043</t>
        </is>
      </c>
      <c r="B44" s="2" t="inlineStr">
        <is>
          <t>C022</t>
        </is>
      </c>
      <c r="C44" s="2" t="inlineStr">
        <is>
          <t>Packaged Snack Business Ideas</t>
        </is>
      </c>
      <c r="D44" s="2" t="inlineStr">
        <is>
          <t>Classic Namkeen Brand, Roasted Nut and Seed Pack, Millet Snack Brand, Fried and Baked Chip, School Snack Pack</t>
        </is>
      </c>
      <c r="E44" s="2" t="inlineStr"/>
      <c r="F44" s="2" t="inlineStr">
        <is>
          <t>todo</t>
        </is>
      </c>
      <c r="G44" s="2">
        <f>SUMPRODUCT((Paste!$B$2:$B$20000="OK")*REGEXMATCH(Paste!$C$2:$C$20000&amp;"","^C022-S0[1-5]-I"))</f>
        <v/>
      </c>
      <c r="H44" s="2" t="inlineStr"/>
    </row>
    <row r="45">
      <c r="A45" s="2" t="inlineStr">
        <is>
          <t>B044</t>
        </is>
      </c>
      <c r="B45" s="2" t="inlineStr">
        <is>
          <t>C022</t>
        </is>
      </c>
      <c r="C45" s="2" t="inlineStr">
        <is>
          <t>Packaged Snack Business Ideas</t>
        </is>
      </c>
      <c r="D45" s="2" t="inlineStr">
        <is>
          <t>Office Pantry Snack Supply, Regional Dry Snack Brand, Protein Munch Pack, Festival Snack Gift Pack, Savoury Mixture Brand</t>
        </is>
      </c>
      <c r="E45" s="2" t="inlineStr"/>
      <c r="F45" s="2" t="inlineStr">
        <is>
          <t>todo</t>
        </is>
      </c>
      <c r="G45" s="2">
        <f>SUMPRODUCT((Paste!$B$2:$B$20000="OK")*REGEXMATCH(Paste!$C$2:$C$20000&amp;"","^C022-S(0[6-9]|10)-I"))</f>
        <v/>
      </c>
      <c r="H45" s="2" t="inlineStr"/>
    </row>
    <row r="46">
      <c r="A46" s="2" t="inlineStr">
        <is>
          <t>B045</t>
        </is>
      </c>
      <c r="B46" s="2" t="inlineStr">
        <is>
          <t>C023</t>
        </is>
      </c>
      <c r="C46" s="2" t="inlineStr">
        <is>
          <t>Beverage Stall and Drink Brand Business Ideas</t>
        </is>
      </c>
      <c r="D46" s="2" t="inlineStr">
        <is>
          <t>Fresh Juice and Shake Bar, Tea Stall and Chai Brand, Coffee Counter, Traditional Indian Cool Drink, Packaged Health Drink Mix</t>
        </is>
      </c>
      <c r="E46" s="2" t="inlineStr"/>
      <c r="F46" s="2" t="inlineStr">
        <is>
          <t>todo</t>
        </is>
      </c>
      <c r="G46" s="2">
        <f>SUMPRODUCT((Paste!$B$2:$B$20000="OK")*REGEXMATCH(Paste!$C$2:$C$20000&amp;"","^C023-S0[1-5]-I"))</f>
        <v/>
      </c>
      <c r="H46" s="2" t="inlineStr"/>
    </row>
    <row r="47">
      <c r="A47" s="2" t="inlineStr">
        <is>
          <t>B046</t>
        </is>
      </c>
      <c r="B47" s="2" t="inlineStr">
        <is>
          <t>C023</t>
        </is>
      </c>
      <c r="C47" s="2" t="inlineStr">
        <is>
          <t>Beverage Stall and Drink Brand Business Ideas</t>
        </is>
      </c>
      <c r="D47" s="2" t="inlineStr">
        <is>
          <t>Office Beverage Supply, Summer Drink Cart, Party Mocktail Service, Regional Drink Brand, Drink Base and Syrup Supply</t>
        </is>
      </c>
      <c r="E47" s="2" t="inlineStr"/>
      <c r="F47" s="2" t="inlineStr">
        <is>
          <t>todo</t>
        </is>
      </c>
      <c r="G47" s="2">
        <f>SUMPRODUCT((Paste!$B$2:$B$20000="OK")*REGEXMATCH(Paste!$C$2:$C$20000&amp;"","^C023-S(0[6-9]|10)-I"))</f>
        <v/>
      </c>
      <c r="H47" s="2" t="inlineStr"/>
    </row>
    <row r="48">
      <c r="A48" s="2" t="inlineStr">
        <is>
          <t>B047</t>
        </is>
      </c>
      <c r="B48" s="2" t="inlineStr">
        <is>
          <t>C024</t>
        </is>
      </c>
      <c r="C48" s="2" t="inlineStr">
        <is>
          <t>Sweet Shop and Mithai Business Ideas</t>
        </is>
      </c>
      <c r="D48" s="2" t="inlineStr">
        <is>
          <t>Neighbourhood Mithai Shop, Festival Sweet Order, Regional Sweet Speciality, Dry Fruit Sweet Box, Milk Based Sweet Making</t>
        </is>
      </c>
      <c r="E48" s="2" t="inlineStr"/>
      <c r="F48" s="2" t="inlineStr">
        <is>
          <t>todo</t>
        </is>
      </c>
      <c r="G48" s="2">
        <f>SUMPRODUCT((Paste!$B$2:$B$20000="OK")*REGEXMATCH(Paste!$C$2:$C$20000&amp;"","^C024-S0[1-5]-I"))</f>
        <v/>
      </c>
      <c r="H48" s="2" t="inlineStr"/>
    </row>
    <row r="49">
      <c r="A49" s="2" t="inlineStr">
        <is>
          <t>B048</t>
        </is>
      </c>
      <c r="B49" s="2" t="inlineStr">
        <is>
          <t>C024</t>
        </is>
      </c>
      <c r="C49" s="2" t="inlineStr">
        <is>
          <t>Sweet Shop and Mithai Business Ideas</t>
        </is>
      </c>
      <c r="D49" s="2" t="inlineStr">
        <is>
          <t>Low Sugar Sweet Option, Sweet Gift Hamper, Wedding Sweet Box, Sweet and Snack Shop, Seasonal Sweet Calendar</t>
        </is>
      </c>
      <c r="E49" s="2" t="inlineStr"/>
      <c r="F49" s="2" t="inlineStr">
        <is>
          <t>todo</t>
        </is>
      </c>
      <c r="G49" s="2">
        <f>SUMPRODUCT((Paste!$B$2:$B$20000="OK")*REGEXMATCH(Paste!$C$2:$C$20000&amp;"","^C024-S(0[6-9]|10)-I"))</f>
        <v/>
      </c>
      <c r="H49" s="2" t="inlineStr"/>
    </row>
    <row r="50">
      <c r="A50" s="2" t="inlineStr">
        <is>
          <t>B049</t>
        </is>
      </c>
      <c r="B50" s="2" t="inlineStr">
        <is>
          <t>C025</t>
        </is>
      </c>
      <c r="C50" s="2" t="inlineStr">
        <is>
          <t>Restaurant and Eatery Business Ideas</t>
        </is>
      </c>
      <c r="D50" s="2" t="inlineStr">
        <is>
          <t>Small Family Eatery, Quick Service Counter, Dhaba Style Meal Stop, South Indian Meals Hotel, North Indian Thali House</t>
        </is>
      </c>
      <c r="E50" s="2" t="inlineStr"/>
      <c r="F50" s="2" t="inlineStr">
        <is>
          <t>todo</t>
        </is>
      </c>
      <c r="G50" s="2">
        <f>SUMPRODUCT((Paste!$B$2:$B$20000="OK")*REGEXMATCH(Paste!$C$2:$C$20000&amp;"","^C025-S0[1-5]-I"))</f>
        <v/>
      </c>
      <c r="H50" s="2" t="inlineStr"/>
    </row>
    <row r="51">
      <c r="A51" s="2" t="inlineStr">
        <is>
          <t>B050</t>
        </is>
      </c>
      <c r="B51" s="2" t="inlineStr">
        <is>
          <t>C025</t>
        </is>
      </c>
      <c r="C51" s="2" t="inlineStr">
        <is>
          <t>Restaurant and Eatery Business Ideas</t>
        </is>
      </c>
      <c r="D51" s="2" t="inlineStr">
        <is>
          <t>Casual Cafe, Pure Veg Eating House, Non Veg Speciality Eatery, Highway Meal Stop, Food Court Stall</t>
        </is>
      </c>
      <c r="E51" s="2" t="inlineStr"/>
      <c r="F51" s="2" t="inlineStr">
        <is>
          <t>todo</t>
        </is>
      </c>
      <c r="G51" s="2">
        <f>SUMPRODUCT((Paste!$B$2:$B$20000="OK")*REGEXMATCH(Paste!$C$2:$C$20000&amp;"","^C025-S(0[6-9]|10)-I"))</f>
        <v/>
      </c>
      <c r="H51" s="2" t="inlineStr"/>
    </row>
    <row r="52">
      <c r="A52" s="2" t="inlineStr">
        <is>
          <t>B051</t>
        </is>
      </c>
      <c r="B52" s="2" t="inlineStr">
        <is>
          <t>C026</t>
        </is>
      </c>
      <c r="C52" s="2" t="inlineStr">
        <is>
          <t>Regional Specialty Food Business Ideas</t>
        </is>
      </c>
      <c r="D52" s="2" t="inlineStr">
        <is>
          <t>South Indian Food Brand, Gujarati Thali Food, Bengali Home Food Order, Punjabi Meal Joint, Kerala Meal and Snack</t>
        </is>
      </c>
      <c r="E52" s="2" t="inlineStr"/>
      <c r="F52" s="2" t="inlineStr">
        <is>
          <t>todo</t>
        </is>
      </c>
      <c r="G52" s="2">
        <f>SUMPRODUCT((Paste!$B$2:$B$20000="OK")*REGEXMATCH(Paste!$C$2:$C$20000&amp;"","^C026-S0[1-5]-I"))</f>
        <v/>
      </c>
      <c r="H52" s="2" t="inlineStr"/>
    </row>
    <row r="53">
      <c r="A53" s="2" t="inlineStr">
        <is>
          <t>B052</t>
        </is>
      </c>
      <c r="B53" s="2" t="inlineStr">
        <is>
          <t>C026</t>
        </is>
      </c>
      <c r="C53" s="2" t="inlineStr">
        <is>
          <t>Regional Specialty Food Business Ideas</t>
        </is>
      </c>
      <c r="D53" s="2" t="inlineStr">
        <is>
          <t>Maharashtrian Food Speciality, Hyderabadi Food Brand, North East Food Kitchen, Coastal Fish Meal, Regional Street Snack Brand</t>
        </is>
      </c>
      <c r="E53" s="2" t="inlineStr"/>
      <c r="F53" s="2" t="inlineStr">
        <is>
          <t>todo</t>
        </is>
      </c>
      <c r="G53" s="2">
        <f>SUMPRODUCT((Paste!$B$2:$B$20000="OK")*REGEXMATCH(Paste!$C$2:$C$20000&amp;"","^C026-S(0[6-9]|10)-I"))</f>
        <v/>
      </c>
      <c r="H53" s="2" t="inlineStr"/>
    </row>
    <row r="54">
      <c r="A54" s="2" t="inlineStr">
        <is>
          <t>B053</t>
        </is>
      </c>
      <c r="B54" s="2" t="inlineStr">
        <is>
          <t>C027</t>
        </is>
      </c>
      <c r="C54" s="2" t="inlineStr">
        <is>
          <t>Beauty Business Ideas</t>
        </is>
      </c>
      <c r="D54" s="2" t="inlineStr">
        <is>
          <t>Skin Facial Service, Hair Care Service, Bridal Makeup Artist, Mehendi Design Service, Nail Studio Service</t>
        </is>
      </c>
      <c r="E54" s="2" t="inlineStr"/>
      <c r="F54" s="2" t="inlineStr">
        <is>
          <t>todo</t>
        </is>
      </c>
      <c r="G54" s="2">
        <f>SUMPRODUCT((Paste!$B$2:$B$20000="OK")*REGEXMATCH(Paste!$C$2:$C$20000&amp;"","^C027-S0[1-5]-I"))</f>
        <v/>
      </c>
      <c r="H54" s="2" t="inlineStr"/>
    </row>
    <row r="55">
      <c r="A55" s="2" t="inlineStr">
        <is>
          <t>B054</t>
        </is>
      </c>
      <c r="B55" s="2" t="inlineStr">
        <is>
          <t>C027</t>
        </is>
      </c>
      <c r="C55" s="2" t="inlineStr">
        <is>
          <t>Beauty Business Ideas</t>
        </is>
      </c>
      <c r="D55" s="2" t="inlineStr">
        <is>
          <t>Basic Salon Grooming, Beauty at Client Home, Beauty Product Resale, Makeup Skill Class, Party Makeup Booking</t>
        </is>
      </c>
      <c r="E55" s="2" t="inlineStr"/>
      <c r="F55" s="2" t="inlineStr">
        <is>
          <t>todo</t>
        </is>
      </c>
      <c r="G55" s="2">
        <f>SUMPRODUCT((Paste!$B$2:$B$20000="OK")*REGEXMATCH(Paste!$C$2:$C$20000&amp;"","^C027-S(0[6-9]|10)-I"))</f>
        <v/>
      </c>
      <c r="H55" s="2" t="inlineStr"/>
    </row>
    <row r="56">
      <c r="A56" s="2" t="inlineStr">
        <is>
          <t>B055</t>
        </is>
      </c>
      <c r="B56" s="2" t="inlineStr">
        <is>
          <t>C028</t>
        </is>
      </c>
      <c r="C56" s="2" t="inlineStr">
        <is>
          <t>Salon and Grooming Business Ideas</t>
        </is>
      </c>
      <c r="D56" s="2" t="inlineStr">
        <is>
          <t>Women Beauty Parlour, Men Hair Salon, Unisex Local Salon, Kids Haircut Chair, Classic Barber Shop</t>
        </is>
      </c>
      <c r="E56" s="2" t="inlineStr"/>
      <c r="F56" s="2" t="inlineStr">
        <is>
          <t>todo</t>
        </is>
      </c>
      <c r="G56" s="2">
        <f>SUMPRODUCT((Paste!$B$2:$B$20000="OK")*REGEXMATCH(Paste!$C$2:$C$20000&amp;"","^C028-S0[1-5]-I"))</f>
        <v/>
      </c>
      <c r="H56" s="2" t="inlineStr"/>
    </row>
    <row r="57">
      <c r="A57" s="2" t="inlineStr">
        <is>
          <t>B056</t>
        </is>
      </c>
      <c r="B57" s="2" t="inlineStr">
        <is>
          <t>C028</t>
        </is>
      </c>
      <c r="C57" s="2" t="inlineStr">
        <is>
          <t>Salon and Grooming Business Ideas</t>
        </is>
      </c>
      <c r="D57" s="2" t="inlineStr">
        <is>
          <t>Skin and Body Care Room, Salon Studio at Home, Salon Retail Shelf, Grooming Membership Plan, Salon Assistant Training</t>
        </is>
      </c>
      <c r="E57" s="2" t="inlineStr"/>
      <c r="F57" s="2" t="inlineStr">
        <is>
          <t>todo</t>
        </is>
      </c>
      <c r="G57" s="2">
        <f>SUMPRODUCT((Paste!$B$2:$B$20000="OK")*REGEXMATCH(Paste!$C$2:$C$20000&amp;"","^C028-S(0[6-9]|10)-I"))</f>
        <v/>
      </c>
      <c r="H57" s="2" t="inlineStr"/>
    </row>
    <row r="58">
      <c r="A58" s="2" t="inlineStr">
        <is>
          <t>B057</t>
        </is>
      </c>
      <c r="B58" s="2" t="inlineStr">
        <is>
          <t>C029</t>
        </is>
      </c>
      <c r="C58" s="2" t="inlineStr">
        <is>
          <t>Bridal and Wedding Beauty Business Ideas</t>
        </is>
      </c>
      <c r="D58" s="2" t="inlineStr">
        <is>
          <t>Full Bridal Makeup Booking, Bridal Mehendi Team, Family Function Makeup, Groom Wedding Grooming, Outstation Wedding Beauty</t>
        </is>
      </c>
      <c r="E58" s="2" t="inlineStr"/>
      <c r="F58" s="2" t="inlineStr">
        <is>
          <t>todo</t>
        </is>
      </c>
      <c r="G58" s="2">
        <f>SUMPRODUCT((Paste!$B$2:$B$20000="OK")*REGEXMATCH(Paste!$C$2:$C$20000&amp;"","^C029-S0[1-5]-I"))</f>
        <v/>
      </c>
      <c r="H58" s="2" t="inlineStr"/>
    </row>
    <row r="59">
      <c r="A59" s="2" t="inlineStr">
        <is>
          <t>B058</t>
        </is>
      </c>
      <c r="B59" s="2" t="inlineStr">
        <is>
          <t>C029</t>
        </is>
      </c>
      <c r="C59" s="2" t="inlineStr">
        <is>
          <t>Bridal and Wedding Beauty Business Ideas</t>
        </is>
      </c>
      <c r="D59" s="2" t="inlineStr">
        <is>
          <t>Pre Wedding Skin Care, Wedding Hair Draping, Bridesmaid Makeup Set, Makeup Trial Studio, Guest and Festive Makeup</t>
        </is>
      </c>
      <c r="E59" s="2" t="inlineStr"/>
      <c r="F59" s="2" t="inlineStr">
        <is>
          <t>todo</t>
        </is>
      </c>
      <c r="G59" s="2">
        <f>SUMPRODUCT((Paste!$B$2:$B$20000="OK")*REGEXMATCH(Paste!$C$2:$C$20000&amp;"","^C029-S(0[6-9]|10)-I"))</f>
        <v/>
      </c>
      <c r="H59" s="2" t="inlineStr"/>
    </row>
    <row r="60">
      <c r="A60" s="2" t="inlineStr">
        <is>
          <t>B059</t>
        </is>
      </c>
      <c r="B60" s="2" t="inlineStr">
        <is>
          <t>C030</t>
        </is>
      </c>
      <c r="C60" s="2" t="inlineStr">
        <is>
          <t>Fashion and Apparel Business Ideas</t>
        </is>
      </c>
      <c r="D60" s="2" t="inlineStr">
        <is>
          <t>Ethnic Wear for Women, Daily Western Wear Selling, Kids Wear Label, Men Casual Wear Selling, Saree Selling</t>
        </is>
      </c>
      <c r="E60" s="2" t="inlineStr"/>
      <c r="F60" s="2" t="inlineStr">
        <is>
          <t>todo</t>
        </is>
      </c>
      <c r="G60" s="2">
        <f>SUMPRODUCT((Paste!$B$2:$B$20000="OK")*REGEXMATCH(Paste!$C$2:$C$20000&amp;"","^C030-S0[1-5]-I"))</f>
        <v/>
      </c>
      <c r="H60" s="2" t="inlineStr"/>
    </row>
    <row r="61">
      <c r="A61" s="2" t="inlineStr">
        <is>
          <t>B060</t>
        </is>
      </c>
      <c r="B61" s="2" t="inlineStr">
        <is>
          <t>C030</t>
        </is>
      </c>
      <c r="C61" s="2" t="inlineStr">
        <is>
          <t>Fashion and Apparel Business Ideas</t>
        </is>
      </c>
      <c r="D61" s="2" t="inlineStr">
        <is>
          <t>Inclusive Size Clothing, Campus Wear Label, Workwear and Uniform Supply, Seasonal Clothing Drop, Preowned Clothing Trade</t>
        </is>
      </c>
      <c r="E61" s="2" t="inlineStr"/>
      <c r="F61" s="2" t="inlineStr">
        <is>
          <t>todo</t>
        </is>
      </c>
      <c r="G61" s="2">
        <f>SUMPRODUCT((Paste!$B$2:$B$20000="OK")*REGEXMATCH(Paste!$C$2:$C$20000&amp;"","^C030-S(0[6-9]|10)-I"))</f>
        <v/>
      </c>
      <c r="H61" s="2" t="inlineStr"/>
    </row>
    <row r="62">
      <c r="A62" s="2" t="inlineStr">
        <is>
          <t>B061</t>
        </is>
      </c>
      <c r="B62" s="2" t="inlineStr">
        <is>
          <t>C031</t>
        </is>
      </c>
      <c r="C62" s="2" t="inlineStr">
        <is>
          <t>Tailoring and Boutique Business Ideas</t>
        </is>
      </c>
      <c r="D62" s="2" t="inlineStr">
        <is>
          <t>Ladies Tailoring Shop, Blouse and Ethnic Stitching, Alteration Desk, Small Designer Boutique, Men Formal Stitching</t>
        </is>
      </c>
      <c r="E62" s="2" t="inlineStr"/>
      <c r="F62" s="2" t="inlineStr">
        <is>
          <t>todo</t>
        </is>
      </c>
      <c r="G62" s="2">
        <f>SUMPRODUCT((Paste!$B$2:$B$20000="OK")*REGEXMATCH(Paste!$C$2:$C$20000&amp;"","^C031-S0[1-5]-I"))</f>
        <v/>
      </c>
      <c r="H62" s="2" t="inlineStr"/>
    </row>
    <row r="63">
      <c r="A63" s="2" t="inlineStr">
        <is>
          <t>B062</t>
        </is>
      </c>
      <c r="B63" s="2" t="inlineStr">
        <is>
          <t>C031</t>
        </is>
      </c>
      <c r="C63" s="2" t="inlineStr">
        <is>
          <t>Tailoring and Boutique Business Ideas</t>
        </is>
      </c>
      <c r="D63" s="2" t="inlineStr">
        <is>
          <t>Children Dress Stitching, Home Visiting Tailor, Embroidery Work Add On, Outfit Hire Boutique, Bulk Stitching Order</t>
        </is>
      </c>
      <c r="E63" s="2" t="inlineStr"/>
      <c r="F63" s="2" t="inlineStr">
        <is>
          <t>todo</t>
        </is>
      </c>
      <c r="G63" s="2">
        <f>SUMPRODUCT((Paste!$B$2:$B$20000="OK")*REGEXMATCH(Paste!$C$2:$C$20000&amp;"","^C031-S(0[6-9]|10)-I"))</f>
        <v/>
      </c>
      <c r="H63" s="2" t="inlineStr"/>
    </row>
    <row r="64">
      <c r="A64" s="2" t="inlineStr">
        <is>
          <t>B063</t>
        </is>
      </c>
      <c r="B64" s="2" t="inlineStr">
        <is>
          <t>C032</t>
        </is>
      </c>
      <c r="C64" s="2" t="inlineStr">
        <is>
          <t>Jewellery and Accessories Business Ideas</t>
        </is>
      </c>
      <c r="D64" s="2" t="inlineStr">
        <is>
          <t>Fashion Jewellery Selling, Handmade Jewellery Bench, Silver Ornament Shop, Bridal Jewellery Set, Daily Wear Accessory</t>
        </is>
      </c>
      <c r="E64" s="2" t="inlineStr"/>
      <c r="F64" s="2" t="inlineStr">
        <is>
          <t>todo</t>
        </is>
      </c>
      <c r="G64" s="2">
        <f>SUMPRODUCT((Paste!$B$2:$B$20000="OK")*REGEXMATCH(Paste!$C$2:$C$20000&amp;"","^C032-S0[1-5]-I"))</f>
        <v/>
      </c>
      <c r="H64" s="2" t="inlineStr"/>
    </row>
    <row r="65">
      <c r="A65" s="2" t="inlineStr">
        <is>
          <t>B064</t>
        </is>
      </c>
      <c r="B65" s="2" t="inlineStr">
        <is>
          <t>C032</t>
        </is>
      </c>
      <c r="C65" s="2" t="inlineStr">
        <is>
          <t>Jewellery and Accessories Business Ideas</t>
        </is>
      </c>
      <c r="D65" s="2" t="inlineStr">
        <is>
          <t>Men Accessory Counter, Temple Jewellery Line, Name and Custom Jewel, Home Based Jewel Order, Boutique Counter Accessory</t>
        </is>
      </c>
      <c r="E65" s="2" t="inlineStr"/>
      <c r="F65" s="2" t="inlineStr">
        <is>
          <t>todo</t>
        </is>
      </c>
      <c r="G65" s="2">
        <f>SUMPRODUCT((Paste!$B$2:$B$20000="OK")*REGEXMATCH(Paste!$C$2:$C$20000&amp;"","^C032-S(0[6-9]|10)-I"))</f>
        <v/>
      </c>
      <c r="H65" s="2" t="inlineStr"/>
    </row>
    <row r="66">
      <c r="A66" s="2" t="inlineStr">
        <is>
          <t>B065</t>
        </is>
      </c>
      <c r="B66" s="2" t="inlineStr">
        <is>
          <t>C033</t>
        </is>
      </c>
      <c r="C66" s="2" t="inlineStr">
        <is>
          <t>Footwear and Bag Business Ideas</t>
        </is>
      </c>
      <c r="D66" s="2" t="inlineStr">
        <is>
          <t>Women Footwear Shop, School Shoe Supply, Men Daily Shoe Shop, Handbag Selling, Travel Bag Shop</t>
        </is>
      </c>
      <c r="E66" s="2" t="inlineStr"/>
      <c r="F66" s="2" t="inlineStr">
        <is>
          <t>todo</t>
        </is>
      </c>
      <c r="G66" s="2">
        <f>SUMPRODUCT((Paste!$B$2:$B$20000="OK")*REGEXMATCH(Paste!$C$2:$C$20000&amp;"","^C033-S0[1-5]-I"))</f>
        <v/>
      </c>
      <c r="H66" s="2" t="inlineStr"/>
    </row>
    <row r="67">
      <c r="A67" s="2" t="inlineStr">
        <is>
          <t>B066</t>
        </is>
      </c>
      <c r="B67" s="2" t="inlineStr">
        <is>
          <t>C033</t>
        </is>
      </c>
      <c r="C67" s="2" t="inlineStr">
        <is>
          <t>Footwear and Bag Business Ideas</t>
        </is>
      </c>
      <c r="D67" s="2" t="inlineStr">
        <is>
          <t>Ethnic Footwear Line, Shoe Repair Desk, Children Footwear Shop, Office Bag Selling, Footwear Selling Online</t>
        </is>
      </c>
      <c r="E67" s="2" t="inlineStr"/>
      <c r="F67" s="2" t="inlineStr">
        <is>
          <t>todo</t>
        </is>
      </c>
      <c r="G67" s="2">
        <f>SUMPRODUCT((Paste!$B$2:$B$20000="OK")*REGEXMATCH(Paste!$C$2:$C$20000&amp;"","^C033-S(0[6-9]|10)-I"))</f>
        <v/>
      </c>
      <c r="H67" s="2" t="inlineStr"/>
    </row>
    <row r="68">
      <c r="A68" s="2" t="inlineStr">
        <is>
          <t>B067</t>
        </is>
      </c>
      <c r="B68" s="2" t="inlineStr">
        <is>
          <t>C034</t>
        </is>
      </c>
      <c r="C68" s="2" t="inlineStr">
        <is>
          <t>Handmade Product Business Ideas</t>
        </is>
      </c>
      <c r="D68" s="2" t="inlineStr">
        <is>
          <t>Scented Candle Studio, Cold Process Soap Studio, Resin Gift Studio, Wall Hanging Craft, Handmade Paper Gift</t>
        </is>
      </c>
      <c r="E68" s="2" t="inlineStr"/>
      <c r="F68" s="2" t="inlineStr">
        <is>
          <t>todo</t>
        </is>
      </c>
      <c r="G68" s="2">
        <f>SUMPRODUCT((Paste!$B$2:$B$20000="OK")*REGEXMATCH(Paste!$C$2:$C$20000&amp;"","^C034-S0[1-5]-I"))</f>
        <v/>
      </c>
      <c r="H68" s="2" t="inlineStr"/>
    </row>
    <row r="69">
      <c r="A69" s="2" t="inlineStr">
        <is>
          <t>B068</t>
        </is>
      </c>
      <c r="B69" s="2" t="inlineStr">
        <is>
          <t>C034</t>
        </is>
      </c>
      <c r="C69" s="2" t="inlineStr">
        <is>
          <t>Handmade Product Business Ideas</t>
        </is>
      </c>
      <c r="D69" s="2" t="inlineStr">
        <is>
          <t>Clay and Pottery Studio, Cloth Doll and Soft Toy, Dried Flower Craft, Custom Commission Craft, Craft Market Selling</t>
        </is>
      </c>
      <c r="E69" s="2" t="inlineStr"/>
      <c r="F69" s="2" t="inlineStr">
        <is>
          <t>todo</t>
        </is>
      </c>
      <c r="G69" s="2">
        <f>SUMPRODUCT((Paste!$B$2:$B$20000="OK")*REGEXMATCH(Paste!$C$2:$C$20000&amp;"","^C034-S(0[6-9]|10)-I"))</f>
        <v/>
      </c>
      <c r="H69" s="2" t="inlineStr"/>
    </row>
    <row r="70">
      <c r="A70" s="2" t="inlineStr">
        <is>
          <t>B069</t>
        </is>
      </c>
      <c r="B70" s="2" t="inlineStr">
        <is>
          <t>C035</t>
        </is>
      </c>
      <c r="C70" s="2" t="inlineStr">
        <is>
          <t>Personal Care Product Business Ideas</t>
        </is>
      </c>
      <c r="D70" s="2" t="inlineStr">
        <is>
          <t>Herbal Hair Oil Brand, Simple Skin Product Brand, Incense Stick Making, Lip Balm and Salve Making, Baby Care Herbal Line</t>
        </is>
      </c>
      <c r="E70" s="2" t="inlineStr"/>
      <c r="F70" s="2" t="inlineStr">
        <is>
          <t>todo</t>
        </is>
      </c>
      <c r="G70" s="2">
        <f>SUMPRODUCT((Paste!$B$2:$B$20000="OK")*REGEXMATCH(Paste!$C$2:$C$20000&amp;"","^C035-S0[1-5]-I"))</f>
        <v/>
      </c>
      <c r="H70" s="2" t="inlineStr"/>
    </row>
    <row r="71">
      <c r="A71" s="2" t="inlineStr">
        <is>
          <t>B070</t>
        </is>
      </c>
      <c r="B71" s="2" t="inlineStr">
        <is>
          <t>C035</t>
        </is>
      </c>
      <c r="C71" s="2" t="inlineStr">
        <is>
          <t>Personal Care Product Business Ideas</t>
        </is>
      </c>
      <c r="D71" s="2" t="inlineStr">
        <is>
          <t>Men Grooming Product Line, Bath Product Making, Herbal Face Pack Mix, Salon Use Product Supply, Personal Care Gift Kit</t>
        </is>
      </c>
      <c r="E71" s="2" t="inlineStr"/>
      <c r="F71" s="2" t="inlineStr">
        <is>
          <t>todo</t>
        </is>
      </c>
      <c r="G71" s="2">
        <f>SUMPRODUCT((Paste!$B$2:$B$20000="OK")*REGEXMATCH(Paste!$C$2:$C$20000&amp;"","^C035-S(0[6-9]|10)-I"))</f>
        <v/>
      </c>
      <c r="H71" s="2" t="inlineStr"/>
    </row>
    <row r="72">
      <c r="A72" s="2" t="inlineStr">
        <is>
          <t>B071</t>
        </is>
      </c>
      <c r="B72" s="2" t="inlineStr">
        <is>
          <t>C036</t>
        </is>
      </c>
      <c r="C72" s="2" t="inlineStr">
        <is>
          <t>Home Textile Business Ideas</t>
        </is>
      </c>
      <c r="D72" s="2" t="inlineStr">
        <is>
          <t>Bed Linen Selling, Curtain Making, Cushion Cover Making, Quilt and Blanket Making, Kitchen Textile Making</t>
        </is>
      </c>
      <c r="E72" s="2" t="inlineStr"/>
      <c r="F72" s="2" t="inlineStr">
        <is>
          <t>todo</t>
        </is>
      </c>
      <c r="G72" s="2">
        <f>SUMPRODUCT((Paste!$B$2:$B$20000="OK")*REGEXMATCH(Paste!$C$2:$C$20000&amp;"","^C036-S0[1-5]-I"))</f>
        <v/>
      </c>
      <c r="H72" s="2" t="inlineStr"/>
    </row>
    <row r="73">
      <c r="A73" s="2" t="inlineStr">
        <is>
          <t>B072</t>
        </is>
      </c>
      <c r="B73" s="2" t="inlineStr">
        <is>
          <t>C036</t>
        </is>
      </c>
      <c r="C73" s="2" t="inlineStr">
        <is>
          <t>Home Textile Business Ideas</t>
        </is>
      </c>
      <c r="D73" s="2" t="inlineStr">
        <is>
          <t>Baby Bedding Making, Named Textile Gift, Handloom Fabric Selling, Stitching Cloth Supply, Made to Order Home Linen</t>
        </is>
      </c>
      <c r="E73" s="2" t="inlineStr"/>
      <c r="F73" s="2" t="inlineStr">
        <is>
          <t>todo</t>
        </is>
      </c>
      <c r="G73" s="2">
        <f>SUMPRODUCT((Paste!$B$2:$B$20000="OK")*REGEXMATCH(Paste!$C$2:$C$20000&amp;"","^C036-S(0[6-9]|10)-I"))</f>
        <v/>
      </c>
      <c r="H73" s="2" t="inlineStr"/>
    </row>
    <row r="74">
      <c r="A74" s="2" t="inlineStr">
        <is>
          <t>B073</t>
        </is>
      </c>
      <c r="B74" s="2" t="inlineStr">
        <is>
          <t>C037</t>
        </is>
      </c>
      <c r="C74" s="2" t="inlineStr">
        <is>
          <t>Education Business Ideas</t>
        </is>
      </c>
      <c r="D74" s="2" t="inlineStr">
        <is>
          <t>School Subject Class, College Subject Support, Spoken English Batch, Short Skill Course, Early Learner Class</t>
        </is>
      </c>
      <c r="E74" s="2" t="inlineStr"/>
      <c r="F74" s="2" t="inlineStr">
        <is>
          <t>todo</t>
        </is>
      </c>
      <c r="G74" s="2">
        <f>SUMPRODUCT((Paste!$B$2:$B$20000="OK")*REGEXMATCH(Paste!$C$2:$C$20000&amp;"","^C037-S0[1-5]-I"))</f>
        <v/>
      </c>
      <c r="H74" s="2" t="inlineStr"/>
    </row>
    <row r="75">
      <c r="A75" s="2" t="inlineStr">
        <is>
          <t>B074</t>
        </is>
      </c>
      <c r="B75" s="2" t="inlineStr">
        <is>
          <t>C037</t>
        </is>
      </c>
      <c r="C75" s="2" t="inlineStr">
        <is>
          <t>Education Business Ideas</t>
        </is>
      </c>
      <c r="D75" s="2" t="inlineStr">
        <is>
          <t>Adult Learning Batch, Study Guide Selling, Course and College Guidance, Catch Up Learning Batch, Small Group Class</t>
        </is>
      </c>
      <c r="E75" s="2" t="inlineStr"/>
      <c r="F75" s="2" t="inlineStr">
        <is>
          <t>todo</t>
        </is>
      </c>
      <c r="G75" s="2">
        <f>SUMPRODUCT((Paste!$B$2:$B$20000="OK")*REGEXMATCH(Paste!$C$2:$C$20000&amp;"","^C037-S(0[6-9]|10)-I"))</f>
        <v/>
      </c>
      <c r="H75" s="2" t="inlineStr"/>
    </row>
    <row r="76">
      <c r="A76" s="2" t="inlineStr">
        <is>
          <t>B075</t>
        </is>
      </c>
      <c r="B76" s="2" t="inlineStr">
        <is>
          <t>C038</t>
        </is>
      </c>
      <c r="C76" s="2" t="inlineStr">
        <is>
          <t>Tuition and Coaching Business Ideas</t>
        </is>
      </c>
      <c r="D76" s="2" t="inlineStr">
        <is>
          <t>Board Exam Tuition, Primary Grade Tuition, Maths Tuition Batch, Science Tuition Batch, Commerce Tuition Batch</t>
        </is>
      </c>
      <c r="E76" s="2" t="inlineStr"/>
      <c r="F76" s="2" t="inlineStr">
        <is>
          <t>todo</t>
        </is>
      </c>
      <c r="G76" s="2">
        <f>SUMPRODUCT((Paste!$B$2:$B$20000="OK")*REGEXMATCH(Paste!$C$2:$C$20000&amp;"","^C038-S0[1-5]-I"))</f>
        <v/>
      </c>
      <c r="H76" s="2" t="inlineStr"/>
    </row>
    <row r="77">
      <c r="A77" s="2" t="inlineStr">
        <is>
          <t>B076</t>
        </is>
      </c>
      <c r="B77" s="2" t="inlineStr">
        <is>
          <t>C038</t>
        </is>
      </c>
      <c r="C77" s="2" t="inlineStr">
        <is>
          <t>Tuition and Coaching Business Ideas</t>
        </is>
      </c>
      <c r="D77" s="2" t="inlineStr">
        <is>
          <t>Tutor at Student Home, Local Tuition Centre, Live Online Tuition, Weekly Test Batch, Holiday Revision Batch</t>
        </is>
      </c>
      <c r="E77" s="2" t="inlineStr"/>
      <c r="F77" s="2" t="inlineStr">
        <is>
          <t>todo</t>
        </is>
      </c>
      <c r="G77" s="2">
        <f>SUMPRODUCT((Paste!$B$2:$B$20000="OK")*REGEXMATCH(Paste!$C$2:$C$20000&amp;"","^C038-S(0[6-9]|10)-I"))</f>
        <v/>
      </c>
      <c r="H77" s="2" t="inlineStr"/>
    </row>
    <row r="78">
      <c r="A78" s="2" t="inlineStr">
        <is>
          <t>B077</t>
        </is>
      </c>
      <c r="B78" s="2" t="inlineStr">
        <is>
          <t>C039</t>
        </is>
      </c>
      <c r="C78" s="2" t="inlineStr">
        <is>
          <t>Competitive Exam Coaching Business Ideas</t>
        </is>
      </c>
      <c r="D78" s="2" t="inlineStr">
        <is>
          <t>SSC Coaching Batch, Bank Exam Coaching, Railway Exam Coaching, Medical Entrance Support, Engineering Entrance Support</t>
        </is>
      </c>
      <c r="E78" s="2" t="inlineStr"/>
      <c r="F78" s="2" t="inlineStr">
        <is>
          <t>todo</t>
        </is>
      </c>
      <c r="G78" s="2">
        <f>SUMPRODUCT((Paste!$B$2:$B$20000="OK")*REGEXMATCH(Paste!$C$2:$C$20000&amp;"","^C039-S0[1-5]-I"))</f>
        <v/>
      </c>
      <c r="H78" s="2" t="inlineStr"/>
    </row>
    <row r="79">
      <c r="A79" s="2" t="inlineStr">
        <is>
          <t>B078</t>
        </is>
      </c>
      <c r="B79" s="2" t="inlineStr">
        <is>
          <t>C039</t>
        </is>
      </c>
      <c r="C79" s="2" t="inlineStr">
        <is>
          <t>Competitive Exam Coaching Business Ideas</t>
        </is>
      </c>
      <c r="D79" s="2" t="inlineStr">
        <is>
          <t>State Service Exam Coaching, Defence Exam Coaching, Teacher Eligibility Coaching, University Entrance Coaching, Daily Current Affairs Batch</t>
        </is>
      </c>
      <c r="E79" s="2" t="inlineStr"/>
      <c r="F79" s="2" t="inlineStr">
        <is>
          <t>todo</t>
        </is>
      </c>
      <c r="G79" s="2">
        <f>SUMPRODUCT((Paste!$B$2:$B$20000="OK")*REGEXMATCH(Paste!$C$2:$C$20000&amp;"","^C039-S(0[6-9]|10)-I"))</f>
        <v/>
      </c>
      <c r="H79" s="2" t="inlineStr"/>
    </row>
    <row r="80">
      <c r="A80" s="2" t="inlineStr">
        <is>
          <t>B079</t>
        </is>
      </c>
      <c r="B80" s="2" t="inlineStr">
        <is>
          <t>C040</t>
        </is>
      </c>
      <c r="C80" s="2" t="inlineStr">
        <is>
          <t>Language and Communication Training Business Ideas</t>
        </is>
      </c>
      <c r="D80" s="2" t="inlineStr">
        <is>
          <t>Spoken English Centre, Hindi for New Residents, Overseas English Test Prep, Workplace Speaking Class, Regional Language Class</t>
        </is>
      </c>
      <c r="E80" s="2" t="inlineStr"/>
      <c r="F80" s="2" t="inlineStr">
        <is>
          <t>todo</t>
        </is>
      </c>
      <c r="G80" s="2">
        <f>SUMPRODUCT((Paste!$B$2:$B$20000="OK")*REGEXMATCH(Paste!$C$2:$C$20000&amp;"","^C040-S0[1-5]-I"))</f>
        <v/>
      </c>
      <c r="H80" s="2" t="inlineStr"/>
    </row>
    <row r="81">
      <c r="A81" s="2" t="inlineStr">
        <is>
          <t>B080</t>
        </is>
      </c>
      <c r="B81" s="2" t="inlineStr">
        <is>
          <t>C040</t>
        </is>
      </c>
      <c r="C81" s="2" t="inlineStr">
        <is>
          <t>Language and Communication Training Business Ideas</t>
        </is>
      </c>
      <c r="D81" s="2" t="inlineStr">
        <is>
          <t>Interview Practice Batch, Children Spoken English, Fluency Practice Group, Office Language Batch, Online Speaking Partner</t>
        </is>
      </c>
      <c r="E81" s="2" t="inlineStr"/>
      <c r="F81" s="2" t="inlineStr">
        <is>
          <t>todo</t>
        </is>
      </c>
      <c r="G81" s="2">
        <f>SUMPRODUCT((Paste!$B$2:$B$20000="OK")*REGEXMATCH(Paste!$C$2:$C$20000&amp;"","^C040-S(0[6-9]|10)-I"))</f>
        <v/>
      </c>
      <c r="H81" s="2" t="inlineStr"/>
    </row>
    <row r="82">
      <c r="A82" s="2" t="inlineStr">
        <is>
          <t>B081</t>
        </is>
      </c>
      <c r="B82" s="2" t="inlineStr">
        <is>
          <t>C041</t>
        </is>
      </c>
      <c r="C82" s="2" t="inlineStr">
        <is>
          <t>Skill Training and Vocational Business Ideas</t>
        </is>
      </c>
      <c r="D82" s="2" t="inlineStr">
        <is>
          <t>Stitching Training Batch, Beauty Trade Training, Phone Repair Training, Basic Computer Training, Electric Trade Helper Training</t>
        </is>
      </c>
      <c r="E82" s="2" t="inlineStr"/>
      <c r="F82" s="2" t="inlineStr">
        <is>
          <t>todo</t>
        </is>
      </c>
      <c r="G82" s="2">
        <f>SUMPRODUCT((Paste!$B$2:$B$20000="OK")*REGEXMATCH(Paste!$C$2:$C$20000&amp;"","^C041-S0[1-5]-I"))</f>
        <v/>
      </c>
      <c r="H82" s="2" t="inlineStr"/>
    </row>
    <row r="83">
      <c r="A83" s="2" t="inlineStr">
        <is>
          <t>B082</t>
        </is>
      </c>
      <c r="B83" s="2" t="inlineStr">
        <is>
          <t>C041</t>
        </is>
      </c>
      <c r="C83" s="2" t="inlineStr">
        <is>
          <t>Skill Training and Vocational Business Ideas</t>
        </is>
      </c>
      <c r="D83" s="2" t="inlineStr">
        <is>
          <t>Bakery Skill Class, Driving School, Appliance Repair Training, Fashion Cutting Course, Job Ready Soft Skill Batch</t>
        </is>
      </c>
      <c r="E83" s="2" t="inlineStr"/>
      <c r="F83" s="2" t="inlineStr">
        <is>
          <t>todo</t>
        </is>
      </c>
      <c r="G83" s="2">
        <f>SUMPRODUCT((Paste!$B$2:$B$20000="OK")*REGEXMATCH(Paste!$C$2:$C$20000&amp;"","^C041-S(0[6-9]|10)-I"))</f>
        <v/>
      </c>
      <c r="H83" s="2" t="inlineStr"/>
    </row>
    <row r="84">
      <c r="A84" s="2" t="inlineStr">
        <is>
          <t>B083</t>
        </is>
      </c>
      <c r="B84" s="2" t="inlineStr">
        <is>
          <t>C042</t>
        </is>
      </c>
      <c r="C84" s="2" t="inlineStr">
        <is>
          <t>Kids Learning and Activity Business Ideas</t>
        </is>
      </c>
      <c r="D84" s="2" t="inlineStr">
        <is>
          <t>Playgroup and Preschool, After School Activity Hub, Mental Maths Class, Children Drawing Class, Children Dance Class</t>
        </is>
      </c>
      <c r="E84" s="2" t="inlineStr"/>
      <c r="F84" s="2" t="inlineStr">
        <is>
          <t>todo</t>
        </is>
      </c>
      <c r="G84" s="2">
        <f>SUMPRODUCT((Paste!$B$2:$B$20000="OK")*REGEXMATCH(Paste!$C$2:$C$20000&amp;"","^C042-S0[1-5]-I"))</f>
        <v/>
      </c>
      <c r="H84" s="2" t="inlineStr"/>
    </row>
    <row r="85">
      <c r="A85" s="2" t="inlineStr">
        <is>
          <t>B084</t>
        </is>
      </c>
      <c r="B85" s="2" t="inlineStr">
        <is>
          <t>C042</t>
        </is>
      </c>
      <c r="C85" s="2" t="inlineStr">
        <is>
          <t>Kids Learning and Activity Business Ideas</t>
        </is>
      </c>
      <c r="D85" s="2" t="inlineStr">
        <is>
          <t>Early Reading Class, Children Coding Play, Drama and Story Class, Summer Activity Camp, Children Robotics Batch</t>
        </is>
      </c>
      <c r="E85" s="2" t="inlineStr"/>
      <c r="F85" s="2" t="inlineStr">
        <is>
          <t>todo</t>
        </is>
      </c>
      <c r="G85" s="2">
        <f>SUMPRODUCT((Paste!$B$2:$B$20000="OK")*REGEXMATCH(Paste!$C$2:$C$20000&amp;"","^C042-S(0[6-9]|10)-I"))</f>
        <v/>
      </c>
      <c r="H85" s="2" t="inlineStr"/>
    </row>
    <row r="86">
      <c r="A86" s="2" t="inlineStr">
        <is>
          <t>B085</t>
        </is>
      </c>
      <c r="B86" s="2" t="inlineStr">
        <is>
          <t>C043</t>
        </is>
      </c>
      <c r="C86" s="2" t="inlineStr">
        <is>
          <t>Hobby and Creative Class Business Ideas</t>
        </is>
      </c>
      <c r="D86" s="2" t="inlineStr">
        <is>
          <t>Adult Art Batch, Instrument Learning Class, Singing Group Class, Dance Batch for Adults, Weekend Cooking Class</t>
        </is>
      </c>
      <c r="E86" s="2" t="inlineStr"/>
      <c r="F86" s="2" t="inlineStr">
        <is>
          <t>todo</t>
        </is>
      </c>
      <c r="G86" s="2">
        <f>SUMPRODUCT((Paste!$B$2:$B$20000="OK")*REGEXMATCH(Paste!$C$2:$C$20000&amp;"","^C043-S0[1-5]-I"))</f>
        <v/>
      </c>
      <c r="H86" s="2" t="inlineStr"/>
    </row>
    <row r="87">
      <c r="A87" s="2" t="inlineStr">
        <is>
          <t>B086</t>
        </is>
      </c>
      <c r="B87" s="2" t="inlineStr">
        <is>
          <t>C043</t>
        </is>
      </c>
      <c r="C87" s="2" t="inlineStr">
        <is>
          <t>Hobby and Creative Class Business Ideas</t>
        </is>
      </c>
      <c r="D87" s="2" t="inlineStr">
        <is>
          <t>Craft Workshop Series, Photo Hobby Workshop, Mehendi Learning Batch, Home Baking Class, Lettering Art Class</t>
        </is>
      </c>
      <c r="E87" s="2" t="inlineStr"/>
      <c r="F87" s="2" t="inlineStr">
        <is>
          <t>todo</t>
        </is>
      </c>
      <c r="G87" s="2">
        <f>SUMPRODUCT((Paste!$B$2:$B$20000="OK")*REGEXMATCH(Paste!$C$2:$C$20000&amp;"","^C043-S(0[6-9]|10)-I"))</f>
        <v/>
      </c>
      <c r="H87" s="2" t="inlineStr"/>
    </row>
    <row r="88">
      <c r="A88" s="2" t="inlineStr">
        <is>
          <t>B087</t>
        </is>
      </c>
      <c r="B88" s="2" t="inlineStr">
        <is>
          <t>C044</t>
        </is>
      </c>
      <c r="C88" s="2" t="inlineStr">
        <is>
          <t>Computer and Digital Skill Training Business Ideas</t>
        </is>
      </c>
      <c r="D88" s="2" t="inlineStr">
        <is>
          <t>Beginner Computer Centre, Accounts Software Class, Design Software Course, Video Edit Course, Beginner Coding Batch</t>
        </is>
      </c>
      <c r="E88" s="2" t="inlineStr"/>
      <c r="F88" s="2" t="inlineStr">
        <is>
          <t>todo</t>
        </is>
      </c>
      <c r="G88" s="2">
        <f>SUMPRODUCT((Paste!$B$2:$B$20000="OK")*REGEXMATCH(Paste!$C$2:$C$20000&amp;"","^C044-S0[1-5]-I"))</f>
        <v/>
      </c>
      <c r="H88" s="2" t="inlineStr"/>
    </row>
    <row r="89">
      <c r="A89" s="2" t="inlineStr">
        <is>
          <t>B088</t>
        </is>
      </c>
      <c r="B89" s="2" t="inlineStr">
        <is>
          <t>C044</t>
        </is>
      </c>
      <c r="C89" s="2" t="inlineStr">
        <is>
          <t>Computer and Digital Skill Training Business Ideas</t>
        </is>
      </c>
      <c r="D89" s="2" t="inlineStr">
        <is>
          <t>Spreadsheet Skill Class, Marketing Skill Course, Certificate Computer Course, Children Computer Batch, Freelance Skill Course</t>
        </is>
      </c>
      <c r="E89" s="2" t="inlineStr"/>
      <c r="F89" s="2" t="inlineStr">
        <is>
          <t>todo</t>
        </is>
      </c>
      <c r="G89" s="2">
        <f>SUMPRODUCT((Paste!$B$2:$B$20000="OK")*REGEXMATCH(Paste!$C$2:$C$20000&amp;"","^C044-S(0[6-9]|10)-I"))</f>
        <v/>
      </c>
      <c r="H89" s="2" t="inlineStr"/>
    </row>
    <row r="90">
      <c r="A90" s="2" t="inlineStr">
        <is>
          <t>B089</t>
        </is>
      </c>
      <c r="B90" s="2" t="inlineStr">
        <is>
          <t>C045</t>
        </is>
      </c>
      <c r="C90" s="2" t="inlineStr">
        <is>
          <t>Test Preparation and Study Support Business Ideas</t>
        </is>
      </c>
      <c r="D90" s="2" t="inlineStr">
        <is>
          <t>Doubt Solving Session, Homework Help Batch, Practice Test Centre, Chapter Notes Shop, Parent Update Tuition</t>
        </is>
      </c>
      <c r="E90" s="2" t="inlineStr"/>
      <c r="F90" s="2" t="inlineStr">
        <is>
          <t>todo</t>
        </is>
      </c>
      <c r="G90" s="2">
        <f>SUMPRODUCT((Paste!$B$2:$B$20000="OK")*REGEXMATCH(Paste!$C$2:$C$20000&amp;"","^C045-S0[1-5]-I"))</f>
        <v/>
      </c>
      <c r="H90" s="2" t="inlineStr"/>
    </row>
    <row r="91">
      <c r="A91" s="2" t="inlineStr">
        <is>
          <t>B090</t>
        </is>
      </c>
      <c r="B91" s="2" t="inlineStr">
        <is>
          <t>C045</t>
        </is>
      </c>
      <c r="C91" s="2" t="inlineStr">
        <is>
          <t>Test Preparation and Study Support Business Ideas</t>
        </is>
      </c>
      <c r="D91" s="2" t="inlineStr">
        <is>
          <t>Weak Topic Repair Batch, Early Study Batch, Guided Study Room, Board Practical Prep, Scholarship Test Prep</t>
        </is>
      </c>
      <c r="E91" s="2" t="inlineStr"/>
      <c r="F91" s="2" t="inlineStr">
        <is>
          <t>todo</t>
        </is>
      </c>
      <c r="G91" s="2">
        <f>SUMPRODUCT((Paste!$B$2:$B$20000="OK")*REGEXMATCH(Paste!$C$2:$C$20000&amp;"","^C045-S(0[6-9]|10)-I"))</f>
        <v/>
      </c>
      <c r="H91" s="2" t="inlineStr"/>
    </row>
    <row r="92">
      <c r="A92" s="2" t="inlineStr">
        <is>
          <t>B091</t>
        </is>
      </c>
      <c r="B92" s="2" t="inlineStr">
        <is>
          <t>C046</t>
        </is>
      </c>
      <c r="C92" s="2" t="inlineStr">
        <is>
          <t>Teacher Led Business Ideas</t>
        </is>
      </c>
      <c r="D92" s="2" t="inlineStr">
        <is>
          <t>Teacher Owned Tuition Brand, Recorded Class Selling, Teacher Worksheet Shop, Teacher Video Class, School Linked Tuition</t>
        </is>
      </c>
      <c r="E92" s="2" t="inlineStr"/>
      <c r="F92" s="2" t="inlineStr">
        <is>
          <t>todo</t>
        </is>
      </c>
      <c r="G92" s="2">
        <f>SUMPRODUCT((Paste!$B$2:$B$20000="OK")*REGEXMATCH(Paste!$C$2:$C$20000&amp;"","^C046-S0[1-5]-I"))</f>
        <v/>
      </c>
      <c r="H92" s="2" t="inlineStr"/>
    </row>
    <row r="93">
      <c r="A93" s="2" t="inlineStr">
        <is>
          <t>B092</t>
        </is>
      </c>
      <c r="B93" s="2" t="inlineStr">
        <is>
          <t>C046</t>
        </is>
      </c>
      <c r="C93" s="2" t="inlineStr">
        <is>
          <t>Teacher Led Business Ideas</t>
        </is>
      </c>
      <c r="D93" s="2" t="inlineStr">
        <is>
          <t>Teacher Made Learning Kit, Holiday Class by Teachers, Subject Update for Students, Teacher Support to Schools, Two Language Teaching</t>
        </is>
      </c>
      <c r="E93" s="2" t="inlineStr"/>
      <c r="F93" s="2" t="inlineStr">
        <is>
          <t>todo</t>
        </is>
      </c>
      <c r="G93" s="2">
        <f>SUMPRODUCT((Paste!$B$2:$B$20000="OK")*REGEXMATCH(Paste!$C$2:$C$20000&amp;"","^C046-S(0[6-9]|10)-I"))</f>
        <v/>
      </c>
      <c r="H93" s="2" t="inlineStr"/>
    </row>
    <row r="94">
      <c r="A94" s="2" t="inlineStr">
        <is>
          <t>B093</t>
        </is>
      </c>
      <c r="B94" s="2" t="inlineStr">
        <is>
          <t>C047</t>
        </is>
      </c>
      <c r="C94" s="2" t="inlineStr">
        <is>
          <t>Digital Marketing Business Ideas</t>
        </is>
      </c>
      <c r="D94" s="2" t="inlineStr">
        <is>
          <t>Local Search Visibility Service, Map Listing Management, Ad Account Handling for Shops, Social Posting Service, WhatsApp Broadcast Service</t>
        </is>
      </c>
      <c r="E94" s="2" t="inlineStr"/>
      <c r="F94" s="2" t="inlineStr">
        <is>
          <t>todo</t>
        </is>
      </c>
      <c r="G94" s="2">
        <f>SUMPRODUCT((Paste!$B$2:$B$20000="OK")*REGEXMATCH(Paste!$C$2:$C$20000&amp;"","^C047-S0[1-5]-I"))</f>
        <v/>
      </c>
      <c r="H94" s="2" t="inlineStr"/>
    </row>
    <row r="95">
      <c r="A95" s="2" t="inlineStr">
        <is>
          <t>B094</t>
        </is>
      </c>
      <c r="B95" s="2" t="inlineStr">
        <is>
          <t>C047</t>
        </is>
      </c>
      <c r="C95" s="2" t="inlineStr">
        <is>
          <t>Digital Marketing Business Ideas</t>
        </is>
      </c>
      <c r="D95" s="2" t="inlineStr">
        <is>
          <t>Review and Reply Handling, Product Listing Improvement, Monthly Content Plan Service, Home Based Marketing Desk, Festival Campaign Creative</t>
        </is>
      </c>
      <c r="E95" s="2" t="inlineStr"/>
      <c r="F95" s="2" t="inlineStr">
        <is>
          <t>todo</t>
        </is>
      </c>
      <c r="G95" s="2">
        <f>SUMPRODUCT((Paste!$B$2:$B$20000="OK")*REGEXMATCH(Paste!$C$2:$C$20000&amp;"","^C047-S(0[6-9]|10)-I"))</f>
        <v/>
      </c>
      <c r="H95" s="2" t="inlineStr"/>
    </row>
    <row r="96">
      <c r="A96" s="2" t="inlineStr">
        <is>
          <t>B095</t>
        </is>
      </c>
      <c r="B96" s="2" t="inlineStr">
        <is>
          <t>C048</t>
        </is>
      </c>
      <c r="C96" s="2" t="inlineStr">
        <is>
          <t>Content Creation Business Ideas</t>
        </is>
      </c>
      <c r="D96" s="2" t="inlineStr">
        <is>
          <t>Short Video Making Service, Article Production Service, Audio Show Production Help, Email Letter Writing Service, Product Photo Set Service</t>
        </is>
      </c>
      <c r="E96" s="2" t="inlineStr"/>
      <c r="F96" s="2" t="inlineStr">
        <is>
          <t>todo</t>
        </is>
      </c>
      <c r="G96" s="2">
        <f>SUMPRODUCT((Paste!$B$2:$B$20000="OK")*REGEXMATCH(Paste!$C$2:$C$20000&amp;"","^C048-S0[1-5]-I"))</f>
        <v/>
      </c>
      <c r="H96" s="2" t="inlineStr"/>
    </row>
    <row r="97">
      <c r="A97" s="2" t="inlineStr">
        <is>
          <t>B096</t>
        </is>
      </c>
      <c r="B97" s="2" t="inlineStr">
        <is>
          <t>C048</t>
        </is>
      </c>
      <c r="C97" s="2" t="inlineStr">
        <is>
          <t>Content Creation Business Ideas</t>
        </is>
      </c>
      <c r="D97" s="2" t="inlineStr">
        <is>
          <t>Hindi and Regional Content, Lesson Content Making, Brand Story Piece, Local Page Content, Old Content Refresh Service</t>
        </is>
      </c>
      <c r="E97" s="2" t="inlineStr"/>
      <c r="F97" s="2" t="inlineStr">
        <is>
          <t>todo</t>
        </is>
      </c>
      <c r="G97" s="2">
        <f>SUMPRODUCT((Paste!$B$2:$B$20000="OK")*REGEXMATCH(Paste!$C$2:$C$20000&amp;"","^C048-S(0[6-9]|10)-I"))</f>
        <v/>
      </c>
      <c r="H97" s="2" t="inlineStr"/>
    </row>
    <row r="98">
      <c r="A98" s="2" t="inlineStr">
        <is>
          <t>B097</t>
        </is>
      </c>
      <c r="B98" s="2" t="inlineStr">
        <is>
          <t>C049</t>
        </is>
      </c>
      <c r="C98" s="2" t="inlineStr">
        <is>
          <t>Social Media Service Business Ideas</t>
        </is>
      </c>
      <c r="D98" s="2" t="inlineStr">
        <is>
          <t>Clinic Page Handling, Shop Page Handling, Restaurant Reel Service, Channel Upload Support, Professional Profile Refresh</t>
        </is>
      </c>
      <c r="E98" s="2" t="inlineStr"/>
      <c r="F98" s="2" t="inlineStr">
        <is>
          <t>todo</t>
        </is>
      </c>
      <c r="G98" s="2">
        <f>SUMPRODUCT((Paste!$B$2:$B$20000="OK")*REGEXMATCH(Paste!$C$2:$C$20000&amp;"","^C049-S0[1-5]-I"))</f>
        <v/>
      </c>
      <c r="H98" s="2" t="inlineStr"/>
    </row>
    <row r="99">
      <c r="A99" s="2" t="inlineStr">
        <is>
          <t>B098</t>
        </is>
      </c>
      <c r="B99" s="2" t="inlineStr">
        <is>
          <t>C049</t>
        </is>
      </c>
      <c r="C99" s="2" t="inlineStr">
        <is>
          <t>Social Media Service Business Ideas</t>
        </is>
      </c>
      <c r="D99" s="2" t="inlineStr">
        <is>
          <t>Festival Post Design Service, Creator Collab Support, Customer Group Care, Property Agent Page Service, Monthly Posting Plan</t>
        </is>
      </c>
      <c r="E99" s="2" t="inlineStr"/>
      <c r="F99" s="2" t="inlineStr">
        <is>
          <t>todo</t>
        </is>
      </c>
      <c r="G99" s="2">
        <f>SUMPRODUCT((Paste!$B$2:$B$20000="OK")*REGEXMATCH(Paste!$C$2:$C$20000&amp;"","^C049-S(0[6-9]|10)-I"))</f>
        <v/>
      </c>
      <c r="H99" s="2" t="inlineStr"/>
    </row>
    <row r="100">
      <c r="A100" s="2" t="inlineStr">
        <is>
          <t>B099</t>
        </is>
      </c>
      <c r="B100" s="2" t="inlineStr">
        <is>
          <t>C050</t>
        </is>
      </c>
      <c r="C100" s="2" t="inlineStr">
        <is>
          <t>Graphic Design and Branding Business Ideas</t>
        </is>
      </c>
      <c r="D100" s="2" t="inlineStr">
        <is>
          <t>Logo and Brand Starter Kit, Social Creative Design, Menu Card Design, Pack Design for Makers, Wedding Paper Design</t>
        </is>
      </c>
      <c r="E100" s="2" t="inlineStr"/>
      <c r="F100" s="2" t="inlineStr">
        <is>
          <t>todo</t>
        </is>
      </c>
      <c r="G100" s="2">
        <f>SUMPRODUCT((Paste!$B$2:$B$20000="OK")*REGEXMATCH(Paste!$C$2:$C$20000&amp;"","^C050-S0[1-5]-I"))</f>
        <v/>
      </c>
      <c r="H100" s="2" t="inlineStr"/>
    </row>
    <row r="101">
      <c r="A101" s="2" t="inlineStr">
        <is>
          <t>B100</t>
        </is>
      </c>
      <c r="B101" s="2" t="inlineStr">
        <is>
          <t>C050</t>
        </is>
      </c>
      <c r="C101" s="2" t="inlineStr">
        <is>
          <t>Graphic Design and Branding Business Ideas</t>
        </is>
      </c>
      <c r="D101" s="2" t="inlineStr">
        <is>
          <t>Shop Board Design, Profile Document Design, Food Label Design, Slide Deck Design, Local Brand Look Service</t>
        </is>
      </c>
      <c r="E101" s="2" t="inlineStr"/>
      <c r="F101" s="2" t="inlineStr">
        <is>
          <t>todo</t>
        </is>
      </c>
      <c r="G101" s="2">
        <f>SUMPRODUCT((Paste!$B$2:$B$20000="OK")*REGEXMATCH(Paste!$C$2:$C$20000&amp;"","^C050-S(0[6-9]|10)-I"))</f>
        <v/>
      </c>
      <c r="H101" s="2" t="inlineStr"/>
    </row>
    <row r="102">
      <c r="A102" s="2" t="inlineStr">
        <is>
          <t>B101</t>
        </is>
      </c>
      <c r="B102" s="2" t="inlineStr">
        <is>
          <t>C051</t>
        </is>
      </c>
      <c r="C102" s="2" t="inlineStr">
        <is>
          <t>Video and Reel Making Business Ideas</t>
        </is>
      </c>
      <c r="D102" s="2" t="inlineStr">
        <is>
          <t>Shop Promo Reel, Wedding Short Film, Channel Video Edit, Product Demo Clip, Property Walkthrough Video</t>
        </is>
      </c>
      <c r="E102" s="2" t="inlineStr"/>
      <c r="F102" s="2" t="inlineStr">
        <is>
          <t>todo</t>
        </is>
      </c>
      <c r="G102" s="2">
        <f>SUMPRODUCT((Paste!$B$2:$B$20000="OK")*REGEXMATCH(Paste!$C$2:$C$20000&amp;"","^C051-S0[1-5]-I"))</f>
        <v/>
      </c>
      <c r="H102" s="2" t="inlineStr"/>
    </row>
    <row r="103">
      <c r="A103" s="2" t="inlineStr">
        <is>
          <t>B102</t>
        </is>
      </c>
      <c r="B103" s="2" t="inlineStr">
        <is>
          <t>C051</t>
        </is>
      </c>
      <c r="C103" s="2" t="inlineStr">
        <is>
          <t>Video and Reel Making Business Ideas</t>
        </is>
      </c>
      <c r="D103" s="2" t="inlineStr">
        <is>
          <t>Coaching Promo Video, Kitchen Food Reel, Function Highlight Video, Talking Video Edit, Regional Language Video Edit</t>
        </is>
      </c>
      <c r="E103" s="2" t="inlineStr"/>
      <c r="F103" s="2" t="inlineStr">
        <is>
          <t>todo</t>
        </is>
      </c>
      <c r="G103" s="2">
        <f>SUMPRODUCT((Paste!$B$2:$B$20000="OK")*REGEXMATCH(Paste!$C$2:$C$20000&amp;"","^C051-S(0[6-9]|10)-I"))</f>
        <v/>
      </c>
      <c r="H103" s="2" t="inlineStr"/>
    </row>
    <row r="104">
      <c r="A104" s="2" t="inlineStr">
        <is>
          <t>B103</t>
        </is>
      </c>
      <c r="B104" s="2" t="inlineStr">
        <is>
          <t>C052</t>
        </is>
      </c>
      <c r="C104" s="2" t="inlineStr">
        <is>
          <t>Photography Business Ideas</t>
        </is>
      </c>
      <c r="D104" s="2" t="inlineStr">
        <is>
          <t>Wedding Photo Coverage, Seller Product Photo, Neighbourhood Photo Studio, Family and Baby Shoot, Menu and Food Photo</t>
        </is>
      </c>
      <c r="E104" s="2" t="inlineStr"/>
      <c r="F104" s="2" t="inlineStr">
        <is>
          <t>todo</t>
        </is>
      </c>
      <c r="G104" s="2">
        <f>SUMPRODUCT((Paste!$B$2:$B$20000="OK")*REGEXMATCH(Paste!$C$2:$C$20000&amp;"","^C052-S0[1-5]-I"))</f>
        <v/>
      </c>
      <c r="H104" s="2" t="inlineStr"/>
    </row>
    <row r="105">
      <c r="A105" s="2" t="inlineStr">
        <is>
          <t>B104</t>
        </is>
      </c>
      <c r="B105" s="2" t="inlineStr">
        <is>
          <t>C052</t>
        </is>
      </c>
      <c r="C105" s="2" t="inlineStr">
        <is>
          <t>Photography Business Ideas</t>
        </is>
      </c>
      <c r="D105" s="2" t="inlineStr">
        <is>
          <t>Property Photo Shoot, Function Photo Coverage, Portfolio Shoot for Models, Outdoor Festival Shoot, Photo Print and Frame Add On</t>
        </is>
      </c>
      <c r="E105" s="2" t="inlineStr"/>
      <c r="F105" s="2" t="inlineStr">
        <is>
          <t>todo</t>
        </is>
      </c>
      <c r="G105" s="2">
        <f>SUMPRODUCT((Paste!$B$2:$B$20000="OK")*REGEXMATCH(Paste!$C$2:$C$20000&amp;"","^C052-S(0[6-9]|10)-I"))</f>
        <v/>
      </c>
      <c r="H105" s="2" t="inlineStr"/>
    </row>
    <row r="106">
      <c r="A106" s="2" t="inlineStr">
        <is>
          <t>B105</t>
        </is>
      </c>
      <c r="B106" s="2" t="inlineStr">
        <is>
          <t>C053</t>
        </is>
      </c>
      <c r="C106" s="2" t="inlineStr">
        <is>
          <t>YouTube and Online Creator Business Ideas</t>
        </is>
      </c>
      <c r="D106" s="2" t="inlineStr">
        <is>
          <t>School Subject Channel, Home Recipe Channel, City Guide Channel, Money Basics Explainer Channel, Hindi Tech Explainer Channel</t>
        </is>
      </c>
      <c r="E106" s="2" t="inlineStr"/>
      <c r="F106" s="2" t="inlineStr">
        <is>
          <t>todo</t>
        </is>
      </c>
      <c r="G106" s="2">
        <f>SUMPRODUCT((Paste!$B$2:$B$20000="OK")*REGEXMATCH(Paste!$C$2:$C$20000&amp;"","^C053-S0[1-5]-I"))</f>
        <v/>
      </c>
      <c r="H106" s="2" t="inlineStr"/>
    </row>
    <row r="107">
      <c r="A107" s="2" t="inlineStr">
        <is>
          <t>B106</t>
        </is>
      </c>
      <c r="B107" s="2" t="inlineStr">
        <is>
          <t>C053</t>
        </is>
      </c>
      <c r="C107" s="2" t="inlineStr">
        <is>
          <t>YouTube and Online Creator Business Ideas</t>
        </is>
      </c>
      <c r="D107" s="2" t="inlineStr">
        <is>
          <t>Farm and Village Channel, Beauty How To Channel, Exam Study Channel, Daily Life Niche Channel, Short Clip Creator</t>
        </is>
      </c>
      <c r="E107" s="2" t="inlineStr"/>
      <c r="F107" s="2" t="inlineStr">
        <is>
          <t>todo</t>
        </is>
      </c>
      <c r="G107" s="2">
        <f>SUMPRODUCT((Paste!$B$2:$B$20000="OK")*REGEXMATCH(Paste!$C$2:$C$20000&amp;"","^C053-S(0[6-9]|10)-I"))</f>
        <v/>
      </c>
      <c r="H107" s="2" t="inlineStr"/>
    </row>
    <row r="108">
      <c r="A108" s="2" t="inlineStr">
        <is>
          <t>B107</t>
        </is>
      </c>
      <c r="B108" s="2" t="inlineStr">
        <is>
          <t>C054</t>
        </is>
      </c>
      <c r="C108" s="2" t="inlineStr">
        <is>
          <t>Writing and Editing Business Ideas</t>
        </is>
      </c>
      <c r="D108" s="2" t="inlineStr">
        <is>
          <t>Website Page Writing, Hindi Article Writing, Book Manuscript Edit, Short Script Writing, Application Essay Help</t>
        </is>
      </c>
      <c r="E108" s="2" t="inlineStr"/>
      <c r="F108" s="2" t="inlineStr">
        <is>
          <t>todo</t>
        </is>
      </c>
      <c r="G108" s="2">
        <f>SUMPRODUCT((Paste!$B$2:$B$20000="OK")*REGEXMATCH(Paste!$C$2:$C$20000&amp;"","^C054-S0[1-5]-I"))</f>
        <v/>
      </c>
      <c r="H108" s="2" t="inlineStr"/>
    </row>
    <row r="109">
      <c r="A109" s="2" t="inlineStr">
        <is>
          <t>B108</t>
        </is>
      </c>
      <c r="B109" s="2" t="inlineStr">
        <is>
          <t>C054</t>
        </is>
      </c>
      <c r="C109" s="2" t="inlineStr">
        <is>
          <t>Writing and Editing Business Ideas</t>
        </is>
      </c>
      <c r="D109" s="2" t="inlineStr">
        <is>
          <t>Product Text Writing, Proposal Writing Help, Newsletter Writing Service, Proofreading Desk, Manual and Guide Writing</t>
        </is>
      </c>
      <c r="E109" s="2" t="inlineStr"/>
      <c r="F109" s="2" t="inlineStr">
        <is>
          <t>todo</t>
        </is>
      </c>
      <c r="G109" s="2">
        <f>SUMPRODUCT((Paste!$B$2:$B$20000="OK")*REGEXMATCH(Paste!$C$2:$C$20000&amp;"","^C054-S(0[6-9]|10)-I"))</f>
        <v/>
      </c>
      <c r="H109" s="2" t="inlineStr"/>
    </row>
    <row r="110">
      <c r="A110" s="2" t="inlineStr">
        <is>
          <t>B109</t>
        </is>
      </c>
      <c r="B110" s="2" t="inlineStr">
        <is>
          <t>C055</t>
        </is>
      </c>
      <c r="C110" s="2" t="inlineStr">
        <is>
          <t>Web and App Service Business Ideas</t>
        </is>
      </c>
      <c r="D110" s="2" t="inlineStr">
        <is>
          <t>Shop Website Setup, Site Care and Update, Single Page Site Build, Simple Booking App Setup, Slow Site Repair Service</t>
        </is>
      </c>
      <c r="E110" s="2" t="inlineStr"/>
      <c r="F110" s="2" t="inlineStr">
        <is>
          <t>todo</t>
        </is>
      </c>
      <c r="G110" s="2">
        <f>SUMPRODUCT((Paste!$B$2:$B$20000="OK")*REGEXMATCH(Paste!$C$2:$C$20000&amp;"","^C055-S0[1-5]-I"))</f>
        <v/>
      </c>
      <c r="H110" s="2" t="inlineStr"/>
    </row>
    <row r="111">
      <c r="A111" s="2" t="inlineStr">
        <is>
          <t>B110</t>
        </is>
      </c>
      <c r="B111" s="2" t="inlineStr">
        <is>
          <t>C055</t>
        </is>
      </c>
      <c r="C111" s="2" t="inlineStr">
        <is>
          <t>Web and App Service Business Ideas</t>
        </is>
      </c>
      <c r="D111" s="2" t="inlineStr">
        <is>
          <t>Clinic Booking Site, Boutique Catalog Site, School Information Site, Site Care Retainer, Local Listing Website</t>
        </is>
      </c>
      <c r="E111" s="2" t="inlineStr"/>
      <c r="F111" s="2" t="inlineStr">
        <is>
          <t>todo</t>
        </is>
      </c>
      <c r="G111" s="2">
        <f>SUMPRODUCT((Paste!$B$2:$B$20000="OK")*REGEXMATCH(Paste!$C$2:$C$20000&amp;"","^C055-S(0[6-9]|10)-I"))</f>
        <v/>
      </c>
      <c r="H111" s="2" t="inlineStr"/>
    </row>
    <row r="112">
      <c r="A112" s="2" t="inlineStr">
        <is>
          <t>B111</t>
        </is>
      </c>
      <c r="B112" s="2" t="inlineStr">
        <is>
          <t>C056</t>
        </is>
      </c>
      <c r="C112" s="2" t="inlineStr">
        <is>
          <t>E-commerce Selling Business Ideas</t>
        </is>
      </c>
      <c r="D112" s="2" t="inlineStr">
        <is>
          <t>Large Marketplace Seller, Fashion Marketplace Seller, Supplier Catalog Selling, Own Domain Shop, Social Checkout Selling</t>
        </is>
      </c>
      <c r="E112" s="2" t="inlineStr"/>
      <c r="F112" s="2" t="inlineStr">
        <is>
          <t>todo</t>
        </is>
      </c>
      <c r="G112" s="2">
        <f>SUMPRODUCT((Paste!$B$2:$B$20000="OK")*REGEXMATCH(Paste!$C$2:$C$20000&amp;"","^C056-S0[1-5]-I"))</f>
        <v/>
      </c>
      <c r="H112" s="2" t="inlineStr"/>
    </row>
    <row r="113">
      <c r="A113" s="2" t="inlineStr">
        <is>
          <t>B112</t>
        </is>
      </c>
      <c r="B113" s="2" t="inlineStr">
        <is>
          <t>C056</t>
        </is>
      </c>
      <c r="C113" s="2" t="inlineStr">
        <is>
          <t>E-commerce Selling Business Ideas</t>
        </is>
      </c>
      <c r="D113" s="2" t="inlineStr">
        <is>
          <t>Narrow Product Online Brand, Regional Goods to All India, Gift Box Online Brand, Repeat Delivery Box, Listing and Dispatch Help</t>
        </is>
      </c>
      <c r="E113" s="2" t="inlineStr"/>
      <c r="F113" s="2" t="inlineStr">
        <is>
          <t>todo</t>
        </is>
      </c>
      <c r="G113" s="2">
        <f>SUMPRODUCT((Paste!$B$2:$B$20000="OK")*REGEXMATCH(Paste!$C$2:$C$20000&amp;"","^C056-S(0[6-9]|10)-I"))</f>
        <v/>
      </c>
      <c r="H113" s="2" t="inlineStr"/>
    </row>
    <row r="114">
      <c r="A114" s="2" t="inlineStr">
        <is>
          <t>B113</t>
        </is>
      </c>
      <c r="B114" s="2" t="inlineStr">
        <is>
          <t>C057</t>
        </is>
      </c>
      <c r="C114" s="2" t="inlineStr">
        <is>
          <t>Affiliate and Content Site Business Ideas</t>
        </is>
      </c>
      <c r="D114" s="2" t="inlineStr">
        <is>
          <t>Product Review Website, Offer and Deal Page, Buyer Comparison Article, Regional How To Site, Video Product Mention</t>
        </is>
      </c>
      <c r="E114" s="2" t="inlineStr"/>
      <c r="F114" s="2" t="inlineStr">
        <is>
          <t>todo</t>
        </is>
      </c>
      <c r="G114" s="2">
        <f>SUMPRODUCT((Paste!$B$2:$B$20000="OK")*REGEXMATCH(Paste!$C$2:$C$20000&amp;"","^C057-S0[1-5]-I"))</f>
        <v/>
      </c>
      <c r="H114" s="2" t="inlineStr"/>
    </row>
    <row r="115">
      <c r="A115" s="2" t="inlineStr">
        <is>
          <t>B114</t>
        </is>
      </c>
      <c r="B115" s="2" t="inlineStr">
        <is>
          <t>C057</t>
        </is>
      </c>
      <c r="C115" s="2" t="inlineStr">
        <is>
          <t>Affiliate and Content Site Business Ideas</t>
        </is>
      </c>
      <c r="D115" s="2" t="inlineStr">
        <is>
          <t>Deal Sharing Group, Email Product Pick Letter, Image Pin Product Page, Exam Resource Referral Site, Local Service Referral Page</t>
        </is>
      </c>
      <c r="E115" s="2" t="inlineStr"/>
      <c r="F115" s="2" t="inlineStr">
        <is>
          <t>todo</t>
        </is>
      </c>
      <c r="G115" s="2">
        <f>SUMPRODUCT((Paste!$B$2:$B$20000="OK")*REGEXMATCH(Paste!$C$2:$C$20000&amp;"","^C057-S(0[6-9]|10)-I"))</f>
        <v/>
      </c>
      <c r="H115" s="2" t="inlineStr"/>
    </row>
    <row r="116">
      <c r="A116" s="2" t="inlineStr">
        <is>
          <t>B115</t>
        </is>
      </c>
      <c r="B116" s="2" t="inlineStr">
        <is>
          <t>C058</t>
        </is>
      </c>
      <c r="C116" s="2" t="inlineStr">
        <is>
          <t>AI and Automation Service Business Ideas</t>
        </is>
      </c>
      <c r="D116" s="2" t="inlineStr">
        <is>
          <t>Shop Chat Reply Setup, AI Assisted Content Desk, Auto Reply on Chat Apps, Clinic Reminder Automation, AI Assist for Photo and Reel</t>
        </is>
      </c>
      <c r="E116" s="2" t="inlineStr"/>
      <c r="F116" s="2" t="inlineStr">
        <is>
          <t>todo</t>
        </is>
      </c>
      <c r="G116" s="2">
        <f>SUMPRODUCT((Paste!$B$2:$B$20000="OK")*REGEXMATCH(Paste!$C$2:$C$20000&amp;"","^C058-S0[1-5]-I"))</f>
        <v/>
      </c>
      <c r="H116" s="2" t="inlineStr"/>
    </row>
    <row r="117">
      <c r="A117" s="2" t="inlineStr">
        <is>
          <t>B116</t>
        </is>
      </c>
      <c r="B117" s="2" t="inlineStr">
        <is>
          <t>C058</t>
        </is>
      </c>
      <c r="C117" s="2" t="inlineStr">
        <is>
          <t>AI and Automation Service Business Ideas</t>
        </is>
      </c>
      <c r="D117" s="2" t="inlineStr">
        <is>
          <t>Coach Workflow Automation, Customer Reply Draft Service, Sheet and Report Automation, Indian Language AI Content, Tool Use Training for Staff</t>
        </is>
      </c>
      <c r="E117" s="2" t="inlineStr"/>
      <c r="F117" s="2" t="inlineStr">
        <is>
          <t>todo</t>
        </is>
      </c>
      <c r="G117" s="2">
        <f>SUMPRODUCT((Paste!$B$2:$B$20000="OK")*REGEXMATCH(Paste!$C$2:$C$20000&amp;"","^C058-S(0[6-9]|10)-I"))</f>
        <v/>
      </c>
      <c r="H117" s="2" t="inlineStr"/>
    </row>
    <row r="118">
      <c r="A118" s="2" t="inlineStr">
        <is>
          <t>B117</t>
        </is>
      </c>
      <c r="B118" s="2" t="inlineStr">
        <is>
          <t>C059</t>
        </is>
      </c>
      <c r="C118" s="2" t="inlineStr">
        <is>
          <t>Health and Wellness Business Ideas</t>
        </is>
      </c>
      <c r="D118" s="2" t="inlineStr">
        <is>
          <t>Home Nurse Visit, Home Physiotherapy Visit, Wellness Goods Shop, Health Camp Organising, Elder Wellness Visit</t>
        </is>
      </c>
      <c r="E118" s="2" t="inlineStr"/>
      <c r="F118" s="2" t="inlineStr">
        <is>
          <t>todo</t>
        </is>
      </c>
      <c r="G118" s="2">
        <f>SUMPRODUCT((Paste!$B$2:$B$20000="OK")*REGEXMATCH(Paste!$C$2:$C$20000&amp;"","^C059-S0[1-5]-I"))</f>
        <v/>
      </c>
      <c r="H118" s="2" t="inlineStr"/>
    </row>
    <row r="119">
      <c r="A119" s="2" t="inlineStr">
        <is>
          <t>B118</t>
        </is>
      </c>
      <c r="B119" s="2" t="inlineStr">
        <is>
          <t>C059</t>
        </is>
      </c>
      <c r="C119" s="2" t="inlineStr">
        <is>
          <t>Health and Wellness Business Ideas</t>
        </is>
      </c>
      <c r="D119" s="2" t="inlineStr">
        <is>
          <t>Women Health Support Service, Habit Coaching for Health, Medical Gear on Hire, Sample Pickup for Labs, Wellness Class Series</t>
        </is>
      </c>
      <c r="E119" s="2" t="inlineStr"/>
      <c r="F119" s="2" t="inlineStr">
        <is>
          <t>todo</t>
        </is>
      </c>
      <c r="G119" s="2">
        <f>SUMPRODUCT((Paste!$B$2:$B$20000="OK")*REGEXMATCH(Paste!$C$2:$C$20000&amp;"","^C059-S(0[6-9]|10)-I"))</f>
        <v/>
      </c>
      <c r="H119" s="2" t="inlineStr"/>
    </row>
    <row r="120">
      <c r="A120" s="2" t="inlineStr">
        <is>
          <t>B119</t>
        </is>
      </c>
      <c r="B120" s="2" t="inlineStr">
        <is>
          <t>C060</t>
        </is>
      </c>
      <c r="C120" s="2" t="inlineStr">
        <is>
          <t>Fitness and Gym Business Ideas</t>
        </is>
      </c>
      <c r="D120" s="2" t="inlineStr">
        <is>
          <t>Lane Gym in a Locality, Women Fitness Batch, Trainer at Client Home, Park Group Workout, Dance Fitness Batch</t>
        </is>
      </c>
      <c r="E120" s="2" t="inlineStr"/>
      <c r="F120" s="2" t="inlineStr">
        <is>
          <t>todo</t>
        </is>
      </c>
      <c r="G120" s="2">
        <f>SUMPRODUCT((Paste!$B$2:$B$20000="OK")*REGEXMATCH(Paste!$C$2:$C$20000&amp;"","^C060-S0[1-5]-I"))</f>
        <v/>
      </c>
      <c r="H120" s="2" t="inlineStr"/>
    </row>
    <row r="121">
      <c r="A121" s="2" t="inlineStr">
        <is>
          <t>B120</t>
        </is>
      </c>
      <c r="B121" s="2" t="inlineStr">
        <is>
          <t>C060</t>
        </is>
      </c>
      <c r="C121" s="2" t="inlineStr">
        <is>
          <t>Fitness and Gym Business Ideas</t>
        </is>
      </c>
      <c r="D121" s="2" t="inlineStr">
        <is>
          <t>Fat Loss Group Plan, Office Stretch Session, Teen Fitness Group, Strength Studio, Online Trainee Follow Up</t>
        </is>
      </c>
      <c r="E121" s="2" t="inlineStr"/>
      <c r="F121" s="2" t="inlineStr">
        <is>
          <t>todo</t>
        </is>
      </c>
      <c r="G121" s="2">
        <f>SUMPRODUCT((Paste!$B$2:$B$20000="OK")*REGEXMATCH(Paste!$C$2:$C$20000&amp;"","^C060-S(0[6-9]|10)-I"))</f>
        <v/>
      </c>
      <c r="H121" s="2" t="inlineStr"/>
    </row>
    <row r="122">
      <c r="A122" s="2" t="inlineStr">
        <is>
          <t>B121</t>
        </is>
      </c>
      <c r="B122" s="2" t="inlineStr">
        <is>
          <t>C061</t>
        </is>
      </c>
      <c r="C122" s="2" t="inlineStr">
        <is>
          <t>Yoga and Mind Body Business Ideas</t>
        </is>
      </c>
      <c r="D122" s="2" t="inlineStr">
        <is>
          <t>Dawn Yoga Group, Women Yoga Batch, Prenatal Movement Class, Office Yoga Slot, Children Yoga Play</t>
        </is>
      </c>
      <c r="E122" s="2" t="inlineStr"/>
      <c r="F122" s="2" t="inlineStr">
        <is>
          <t>todo</t>
        </is>
      </c>
      <c r="G122" s="2">
        <f>SUMPRODUCT((Paste!$B$2:$B$20000="OK")*REGEXMATCH(Paste!$C$2:$C$20000&amp;"","^C061-S0[1-5]-I"))</f>
        <v/>
      </c>
      <c r="H122" s="2" t="inlineStr"/>
    </row>
    <row r="123">
      <c r="A123" s="2" t="inlineStr">
        <is>
          <t>B122</t>
        </is>
      </c>
      <c r="B123" s="2" t="inlineStr">
        <is>
          <t>C061</t>
        </is>
      </c>
      <c r="C123" s="2" t="inlineStr">
        <is>
          <t>Yoga and Mind Body Business Ideas</t>
        </is>
      </c>
      <c r="D123" s="2" t="inlineStr">
        <is>
          <t>Quiet Sitting Group, Online Yoga Membership, Back Care Yoga Batch, One Day Yoga Gathering, Terrace Yoga in Societies</t>
        </is>
      </c>
      <c r="E123" s="2" t="inlineStr"/>
      <c r="F123" s="2" t="inlineStr">
        <is>
          <t>todo</t>
        </is>
      </c>
      <c r="G123" s="2">
        <f>SUMPRODUCT((Paste!$B$2:$B$20000="OK")*REGEXMATCH(Paste!$C$2:$C$20000&amp;"","^C061-S(0[6-9]|10)-I"))</f>
        <v/>
      </c>
      <c r="H123" s="2" t="inlineStr"/>
    </row>
    <row r="124">
      <c r="A124" s="2" t="inlineStr">
        <is>
          <t>B123</t>
        </is>
      </c>
      <c r="B124" s="2" t="inlineStr">
        <is>
          <t>C062</t>
        </is>
      </c>
      <c r="C124" s="2" t="inlineStr">
        <is>
          <t>Ayurveda and Herbal Product Business Ideas</t>
        </is>
      </c>
      <c r="D124" s="2" t="inlineStr">
        <is>
          <t>Herbal Powder Brand, Ayurvedic Hair Oil, Herbal Infusion Blend, Classical Product Resale, Herbal Skin Balm</t>
        </is>
      </c>
      <c r="E124" s="2" t="inlineStr"/>
      <c r="F124" s="2" t="inlineStr">
        <is>
          <t>todo</t>
        </is>
      </c>
      <c r="G124" s="2">
        <f>SUMPRODUCT((Paste!$B$2:$B$20000="OK")*REGEXMATCH(Paste!$C$2:$C$20000&amp;"","^C062-S0[1-5]-I"))</f>
        <v/>
      </c>
      <c r="H124" s="2" t="inlineStr"/>
    </row>
    <row r="125">
      <c r="A125" s="2" t="inlineStr">
        <is>
          <t>B124</t>
        </is>
      </c>
      <c r="B125" s="2" t="inlineStr">
        <is>
          <t>C062</t>
        </is>
      </c>
      <c r="C125" s="2" t="inlineStr">
        <is>
          <t>Ayurveda and Herbal Product Business Ideas</t>
        </is>
      </c>
      <c r="D125" s="2" t="inlineStr">
        <is>
          <t>Home Kadha Mix Brand, Herbal Body Balm, Ayurvedic Food Advice, Village Herb Brand, Ayurvedic Therapy Support</t>
        </is>
      </c>
      <c r="E125" s="2" t="inlineStr"/>
      <c r="F125" s="2" t="inlineStr">
        <is>
          <t>todo</t>
        </is>
      </c>
      <c r="G125" s="2">
        <f>SUMPRODUCT((Paste!$B$2:$B$20000="OK")*REGEXMATCH(Paste!$C$2:$C$20000&amp;"","^C062-S(0[6-9]|10)-I"))</f>
        <v/>
      </c>
      <c r="H125" s="2" t="inlineStr"/>
    </row>
    <row r="126">
      <c r="A126" s="2" t="inlineStr">
        <is>
          <t>B125</t>
        </is>
      </c>
      <c r="B126" s="2" t="inlineStr">
        <is>
          <t>C063</t>
        </is>
      </c>
      <c r="C126" s="2" t="inlineStr">
        <is>
          <t>Nutrition and Diet Service Business Ideas</t>
        </is>
      </c>
      <c r="D126" s="2" t="inlineStr">
        <is>
          <t>Indian Plate Diet Plan, Women Health Diet Support, Weight Change Meal Plan, Sugar Control Meal Guidance, Child Meal Guidance</t>
        </is>
      </c>
      <c r="E126" s="2" t="inlineStr"/>
      <c r="F126" s="2" t="inlineStr">
        <is>
          <t>todo</t>
        </is>
      </c>
      <c r="G126" s="2">
        <f>SUMPRODUCT((Paste!$B$2:$B$20000="OK")*REGEXMATCH(Paste!$C$2:$C$20000&amp;"","^C063-S0[1-5]-I"))</f>
        <v/>
      </c>
      <c r="H126" s="2" t="inlineStr"/>
    </row>
    <row r="127">
      <c r="A127" s="2" t="inlineStr">
        <is>
          <t>B126</t>
        </is>
      </c>
      <c r="B127" s="2" t="inlineStr">
        <is>
          <t>C063</t>
        </is>
      </c>
      <c r="C127" s="2" t="inlineStr">
        <is>
          <t>Nutrition and Diet Service Business Ideas</t>
        </is>
      </c>
      <c r="D127" s="2" t="inlineStr">
        <is>
          <t>Sport Player Meal Plan, Family Weekly Meal Plan, Online Diet Check In, Clinic Linked Diet Desk, Millet Meal Coaching</t>
        </is>
      </c>
      <c r="E127" s="2" t="inlineStr"/>
      <c r="F127" s="2" t="inlineStr">
        <is>
          <t>todo</t>
        </is>
      </c>
      <c r="G127" s="2">
        <f>SUMPRODUCT((Paste!$B$2:$B$20000="OK")*REGEXMATCH(Paste!$C$2:$C$20000&amp;"","^C063-S(0[6-9]|10)-I"))</f>
        <v/>
      </c>
      <c r="H127" s="2" t="inlineStr"/>
    </row>
    <row r="128">
      <c r="A128" s="2" t="inlineStr">
        <is>
          <t>B127</t>
        </is>
      </c>
      <c r="B128" s="2" t="inlineStr">
        <is>
          <t>C064</t>
        </is>
      </c>
      <c r="C128" s="2" t="inlineStr">
        <is>
          <t>Home Healthcare Service Business Ideas</t>
        </is>
      </c>
      <c r="D128" s="2" t="inlineStr">
        <is>
          <t>Elder Companion Care, Recovery Care at Home, Dressing and Basic Visit, Mother and Newborn Visit, Physio Session at Home</t>
        </is>
      </c>
      <c r="E128" s="2" t="inlineStr"/>
      <c r="F128" s="2" t="inlineStr">
        <is>
          <t>todo</t>
        </is>
      </c>
      <c r="G128" s="2">
        <f>SUMPRODUCT((Paste!$B$2:$B$20000="OK")*REGEXMATCH(Paste!$C$2:$C$20000&amp;"","^C064-S0[1-5]-I"))</f>
        <v/>
      </c>
      <c r="H128" s="2" t="inlineStr"/>
    </row>
    <row r="129">
      <c r="A129" s="2" t="inlineStr">
        <is>
          <t>B128</t>
        </is>
      </c>
      <c r="B129" s="2" t="inlineStr">
        <is>
          <t>C064</t>
        </is>
      </c>
      <c r="C129" s="2" t="inlineStr">
        <is>
          <t>Home Healthcare Service Business Ideas</t>
        </is>
      </c>
      <c r="D129" s="2" t="inlineStr">
        <is>
          <t>Home Use Medical Gear, Daily Health Check Visit, Memory Care Companion, Discharge to Home Support, Night Care Attendant</t>
        </is>
      </c>
      <c r="E129" s="2" t="inlineStr"/>
      <c r="F129" s="2" t="inlineStr">
        <is>
          <t>todo</t>
        </is>
      </c>
      <c r="G129" s="2">
        <f>SUMPRODUCT((Paste!$B$2:$B$20000="OK")*REGEXMATCH(Paste!$C$2:$C$20000&amp;"","^C064-S(0[6-9]|10)-I"))</f>
        <v/>
      </c>
      <c r="H129" s="2" t="inlineStr"/>
    </row>
    <row r="130">
      <c r="A130" s="2" t="inlineStr">
        <is>
          <t>B129</t>
        </is>
      </c>
      <c r="B130" s="2" t="inlineStr">
        <is>
          <t>C065</t>
        </is>
      </c>
      <c r="C130" s="2" t="inlineStr">
        <is>
          <t>Pharmacy and Wellness Retail Business Ideas</t>
        </is>
      </c>
      <c r="D130" s="2" t="inlineStr">
        <is>
          <t>Neighbourhood Chemist Shop, Generic Medicine Counter, Wellness Shelf Inside Shop, Surgical Supply Counter, Mother and Baby Care Shelf</t>
        </is>
      </c>
      <c r="E130" s="2" t="inlineStr"/>
      <c r="F130" s="2" t="inlineStr">
        <is>
          <t>todo</t>
        </is>
      </c>
      <c r="G130" s="2">
        <f>SUMPRODUCT((Paste!$B$2:$B$20000="OK")*REGEXMATCH(Paste!$C$2:$C$20000&amp;"","^C065-S0[1-5]-I"))</f>
        <v/>
      </c>
      <c r="H130" s="2" t="inlineStr"/>
    </row>
    <row r="131">
      <c r="A131" s="2" t="inlineStr">
        <is>
          <t>B130</t>
        </is>
      </c>
      <c r="B131" s="2" t="inlineStr">
        <is>
          <t>C065</t>
        </is>
      </c>
      <c r="C131" s="2" t="inlineStr">
        <is>
          <t>Pharmacy and Wellness Retail Business Ideas</t>
        </is>
      </c>
      <c r="D131" s="2" t="inlineStr">
        <is>
          <t>Ayurvedic Medicine Counter, Chemist With Cosmetic Shelf, Village Medicine Shop, Shop Near Hospitals, Medicine Home Delivery Desk</t>
        </is>
      </c>
      <c r="E131" s="2" t="inlineStr"/>
      <c r="F131" s="2" t="inlineStr">
        <is>
          <t>todo</t>
        </is>
      </c>
      <c r="G131" s="2">
        <f>SUMPRODUCT((Paste!$B$2:$B$20000="OK")*REGEXMATCH(Paste!$C$2:$C$20000&amp;"","^C065-S(0[6-9]|10)-I"))</f>
        <v/>
      </c>
      <c r="H131" s="2" t="inlineStr"/>
    </row>
    <row r="132">
      <c r="A132" s="2" t="inlineStr">
        <is>
          <t>B131</t>
        </is>
      </c>
      <c r="B132" s="2" t="inlineStr">
        <is>
          <t>C066</t>
        </is>
      </c>
      <c r="C132" s="2" t="inlineStr">
        <is>
          <t>Mental Wellness Support Business Ideas</t>
        </is>
      </c>
      <c r="D132" s="2" t="inlineStr">
        <is>
          <t>Talk Support Practice, Student Stress Group, Career Worry Workshop, Parent Support Circle, Workplace Calm Session</t>
        </is>
      </c>
      <c r="E132" s="2" t="inlineStr"/>
      <c r="F132" s="2" t="inlineStr">
        <is>
          <t>todo</t>
        </is>
      </c>
      <c r="G132" s="2">
        <f>SUMPRODUCT((Paste!$B$2:$B$20000="OK")*REGEXMATCH(Paste!$C$2:$C$20000&amp;"","^C066-S0[1-5]-I"))</f>
        <v/>
      </c>
      <c r="H132" s="2" t="inlineStr"/>
    </row>
    <row r="133">
      <c r="A133" s="2" t="inlineStr">
        <is>
          <t>B132</t>
        </is>
      </c>
      <c r="B133" s="2" t="inlineStr">
        <is>
          <t>C066</t>
        </is>
      </c>
      <c r="C133" s="2" t="inlineStr">
        <is>
          <t>Mental Wellness Support Business Ideas</t>
        </is>
      </c>
      <c r="D133" s="2" t="inlineStr">
        <is>
          <t>Life Change Support Group, Adult Mindfulness Batch, School Emotional Support Tie Up, Online Talk Session Practice, Community Wellbeing Talk</t>
        </is>
      </c>
      <c r="E133" s="2" t="inlineStr"/>
      <c r="F133" s="2" t="inlineStr">
        <is>
          <t>todo</t>
        </is>
      </c>
      <c r="G133" s="2">
        <f>SUMPRODUCT((Paste!$B$2:$B$20000="OK")*REGEXMATCH(Paste!$C$2:$C$20000&amp;"","^C066-S(0[6-9]|10)-I"))</f>
        <v/>
      </c>
      <c r="H133" s="2" t="inlineStr"/>
    </row>
    <row r="134">
      <c r="A134" s="2" t="inlineStr">
        <is>
          <t>B133</t>
        </is>
      </c>
      <c r="B134" s="2" t="inlineStr">
        <is>
          <t>C067</t>
        </is>
      </c>
      <c r="C134" s="2" t="inlineStr">
        <is>
          <t>Agriculture and Farming Business Ideas</t>
        </is>
      </c>
      <c r="D134" s="2" t="inlineStr">
        <is>
          <t>Vegetable Plot and Sale, Grain Crop Field, Mixed Smallholding, Net House Vegetable, Fruit Tree Farm</t>
        </is>
      </c>
      <c r="E134" s="2" t="inlineStr"/>
      <c r="F134" s="2" t="inlineStr">
        <is>
          <t>todo</t>
        </is>
      </c>
      <c r="G134" s="2">
        <f>SUMPRODUCT((Paste!$B$2:$B$20000="OK")*REGEXMATCH(Paste!$C$2:$C$20000&amp;"","^C067-S0[1-5]-I"))</f>
        <v/>
      </c>
      <c r="H134" s="2" t="inlineStr"/>
    </row>
    <row r="135">
      <c r="A135" s="2" t="inlineStr">
        <is>
          <t>B134</t>
        </is>
      </c>
      <c r="B135" s="2" t="inlineStr">
        <is>
          <t>C067</t>
        </is>
      </c>
      <c r="C135" s="2" t="inlineStr">
        <is>
          <t>Agriculture and Farming Business Ideas</t>
        </is>
      </c>
      <c r="D135" s="2" t="inlineStr">
        <is>
          <t>Fodder Crop Growing, Seed Plot Growing, Farm Box to Homes, Buyer Contract Vegetable, Multi Season Crop Plan</t>
        </is>
      </c>
      <c r="E135" s="2" t="inlineStr"/>
      <c r="F135" s="2" t="inlineStr">
        <is>
          <t>todo</t>
        </is>
      </c>
      <c r="G135" s="2">
        <f>SUMPRODUCT((Paste!$B$2:$B$20000="OK")*REGEXMATCH(Paste!$C$2:$C$20000&amp;"","^C067-S(0[6-9]|10)-I"))</f>
        <v/>
      </c>
      <c r="H135" s="2" t="inlineStr"/>
    </row>
    <row r="136">
      <c r="A136" s="2" t="inlineStr">
        <is>
          <t>B135</t>
        </is>
      </c>
      <c r="B136" s="2" t="inlineStr">
        <is>
          <t>C068</t>
        </is>
      </c>
      <c r="C136" s="2" t="inlineStr">
        <is>
          <t>Organic Farming Business Ideas</t>
        </is>
      </c>
      <c r="D136" s="2" t="inlineStr">
        <is>
          <t>Organic Vegetable Farm, Organic Grain Field, On Farm Natural Input, Organic Fruit Garden, Shift to Organic Method</t>
        </is>
      </c>
      <c r="E136" s="2" t="inlineStr"/>
      <c r="F136" s="2" t="inlineStr">
        <is>
          <t>todo</t>
        </is>
      </c>
      <c r="G136" s="2">
        <f>SUMPRODUCT((Paste!$B$2:$B$20000="OK")*REGEXMATCH(Paste!$C$2:$C$20000&amp;"","^C068-S0[1-5]-I"))</f>
        <v/>
      </c>
      <c r="H136" s="2" t="inlineStr"/>
    </row>
    <row r="137">
      <c r="A137" s="2" t="inlineStr">
        <is>
          <t>B136</t>
        </is>
      </c>
      <c r="B137" s="2" t="inlineStr">
        <is>
          <t>C068</t>
        </is>
      </c>
      <c r="C137" s="2" t="inlineStr">
        <is>
          <t>Organic Farming Business Ideas</t>
        </is>
      </c>
      <c r="D137" s="2" t="inlineStr">
        <is>
          <t>Organic Terrace Setup Service, Organic Box Subscription, Saved Seed Exchange, City Terrace Organic Plot, Farm Visit Day</t>
        </is>
      </c>
      <c r="E137" s="2" t="inlineStr"/>
      <c r="F137" s="2" t="inlineStr">
        <is>
          <t>todo</t>
        </is>
      </c>
      <c r="G137" s="2">
        <f>SUMPRODUCT((Paste!$B$2:$B$20000="OK")*REGEXMATCH(Paste!$C$2:$C$20000&amp;"","^C068-S(0[6-9]|10)-I"))</f>
        <v/>
      </c>
      <c r="H137" s="2" t="inlineStr"/>
    </row>
    <row r="138">
      <c r="A138" s="2" t="inlineStr">
        <is>
          <t>B137</t>
        </is>
      </c>
      <c r="B138" s="2" t="inlineStr">
        <is>
          <t>C069</t>
        </is>
      </c>
      <c r="C138" s="2" t="inlineStr">
        <is>
          <t>Dairy and Milk Product Business Ideas</t>
        </is>
      </c>
      <c r="D138" s="2" t="inlineStr">
        <is>
          <t>Morning Milk Route, Fresh Paneer Making, Curd and Buttermilk Making, Ghee Making Batch, Flavoured Milk Drink</t>
        </is>
      </c>
      <c r="E138" s="2" t="inlineStr"/>
      <c r="F138" s="2" t="inlineStr">
        <is>
          <t>todo</t>
        </is>
      </c>
      <c r="G138" s="2">
        <f>SUMPRODUCT((Paste!$B$2:$B$20000="OK")*REGEXMATCH(Paste!$C$2:$C$20000&amp;"","^C069-S0[1-5]-I"))</f>
        <v/>
      </c>
      <c r="H138" s="2" t="inlineStr"/>
    </row>
    <row r="139">
      <c r="A139" s="2" t="inlineStr">
        <is>
          <t>B138</t>
        </is>
      </c>
      <c r="B139" s="2" t="inlineStr">
        <is>
          <t>C069</t>
        </is>
      </c>
      <c r="C139" s="2" t="inlineStr">
        <is>
          <t>Dairy and Milk Product Business Ideas</t>
        </is>
      </c>
      <c r="D139" s="2" t="inlineStr">
        <is>
          <t>Village Milk Collection Point, Khoa for Sweet Shops, Small Dairy Herd, Speciality Milk Supply, Fresh Cheese Making</t>
        </is>
      </c>
      <c r="E139" s="2" t="inlineStr"/>
      <c r="F139" s="2" t="inlineStr">
        <is>
          <t>todo</t>
        </is>
      </c>
      <c r="G139" s="2">
        <f>SUMPRODUCT((Paste!$B$2:$B$20000="OK")*REGEXMATCH(Paste!$C$2:$C$20000&amp;"","^C069-S(0[6-9]|10)-I"))</f>
        <v/>
      </c>
      <c r="H139" s="2" t="inlineStr"/>
    </row>
    <row r="140">
      <c r="A140" s="2" t="inlineStr">
        <is>
          <t>B139</t>
        </is>
      </c>
      <c r="B140" s="2" t="inlineStr">
        <is>
          <t>C070</t>
        </is>
      </c>
      <c r="C140" s="2" t="inlineStr">
        <is>
          <t>Poultry and Small Livestock Business Ideas</t>
        </is>
      </c>
      <c r="D140" s="2" t="inlineStr">
        <is>
          <t>Country Bird Rearing, Meat Bird Batch, Egg Layer Supply, Goat Herd Rearing, Small Bird Unit</t>
        </is>
      </c>
      <c r="E140" s="2" t="inlineStr"/>
      <c r="F140" s="2" t="inlineStr">
        <is>
          <t>todo</t>
        </is>
      </c>
      <c r="G140" s="2">
        <f>SUMPRODUCT((Paste!$B$2:$B$20000="OK")*REGEXMATCH(Paste!$C$2:$C$20000&amp;"","^C070-S0[1-5]-I"))</f>
        <v/>
      </c>
      <c r="H140" s="2" t="inlineStr"/>
    </row>
    <row r="141">
      <c r="A141" s="2" t="inlineStr">
        <is>
          <t>B140</t>
        </is>
      </c>
      <c r="B141" s="2" t="inlineStr">
        <is>
          <t>C070</t>
        </is>
      </c>
      <c r="C141" s="2" t="inlineStr">
        <is>
          <t>Poultry and Small Livestock Business Ideas</t>
        </is>
      </c>
      <c r="D141" s="2" t="inlineStr">
        <is>
          <t>Backyard Bird Keeping, Animal Feed Mix, Direct Bird Meat Sale, Breeding Stock Sale, Livestock Care Service</t>
        </is>
      </c>
      <c r="E141" s="2" t="inlineStr"/>
      <c r="F141" s="2" t="inlineStr">
        <is>
          <t>todo</t>
        </is>
      </c>
      <c r="G141" s="2">
        <f>SUMPRODUCT((Paste!$B$2:$B$20000="OK")*REGEXMATCH(Paste!$C$2:$C$20000&amp;"","^C070-S(0[6-9]|10)-I"))</f>
        <v/>
      </c>
      <c r="H141" s="2" t="inlineStr"/>
    </row>
    <row r="142">
      <c r="A142" s="2" t="inlineStr">
        <is>
          <t>B141</t>
        </is>
      </c>
      <c r="B142" s="2" t="inlineStr">
        <is>
          <t>C071</t>
        </is>
      </c>
      <c r="C142" s="2" t="inlineStr">
        <is>
          <t>Nursery and Plant Business Ideas</t>
        </is>
      </c>
      <c r="D142" s="2" t="inlineStr">
        <is>
          <t>Decorative Plant Nursery, Fruit Sapling Nursery, Indoor Plant Shop, Terrace Garden Setup, Seasonal Flower Grower</t>
        </is>
      </c>
      <c r="E142" s="2" t="inlineStr"/>
      <c r="F142" s="2" t="inlineStr">
        <is>
          <t>todo</t>
        </is>
      </c>
      <c r="G142" s="2">
        <f>SUMPRODUCT((Paste!$B$2:$B$20000="OK")*REGEXMATCH(Paste!$C$2:$C$20000&amp;"","^C071-S0[1-5]-I"))</f>
        <v/>
      </c>
      <c r="H142" s="2" t="inlineStr"/>
    </row>
    <row r="143">
      <c r="A143" s="2" t="inlineStr">
        <is>
          <t>B142</t>
        </is>
      </c>
      <c r="B143" s="2" t="inlineStr">
        <is>
          <t>C071</t>
        </is>
      </c>
      <c r="C143" s="2" t="inlineStr">
        <is>
          <t>Nursery and Plant Business Ideas</t>
        </is>
      </c>
      <c r="D143" s="2" t="inlineStr">
        <is>
          <t>Vegetable Seedling Tray, Office Plant Supply, Pot and Plant Combo, Society Garden Care, Plant Delivery in Cities</t>
        </is>
      </c>
      <c r="E143" s="2" t="inlineStr"/>
      <c r="F143" s="2" t="inlineStr">
        <is>
          <t>todo</t>
        </is>
      </c>
      <c r="G143" s="2">
        <f>SUMPRODUCT((Paste!$B$2:$B$20000="OK")*REGEXMATCH(Paste!$C$2:$C$20000&amp;"","^C071-S(0[6-9]|10)-I"))</f>
        <v/>
      </c>
      <c r="H143" s="2" t="inlineStr"/>
    </row>
    <row r="144">
      <c r="A144" s="2" t="inlineStr">
        <is>
          <t>B143</t>
        </is>
      </c>
      <c r="B144" s="2" t="inlineStr">
        <is>
          <t>C072</t>
        </is>
      </c>
      <c r="C144" s="2" t="inlineStr">
        <is>
          <t>Agri Input and Farm Service Business Ideas</t>
        </is>
      </c>
      <c r="D144" s="2" t="inlineStr">
        <is>
          <t>Seed and Nutrient Shop, Crop Protection Retail, Farm Implement Hire, Tractor Hire With Driver, Soil Check Service</t>
        </is>
      </c>
      <c r="E144" s="2" t="inlineStr"/>
      <c r="F144" s="2" t="inlineStr">
        <is>
          <t>todo</t>
        </is>
      </c>
      <c r="G144" s="2">
        <f>SUMPRODUCT((Paste!$B$2:$B$20000="OK")*REGEXMATCH(Paste!$C$2:$C$20000&amp;"","^C072-S0[1-5]-I"))</f>
        <v/>
      </c>
      <c r="H144" s="2" t="inlineStr"/>
    </row>
    <row r="145">
      <c r="A145" s="2" t="inlineStr">
        <is>
          <t>B144</t>
        </is>
      </c>
      <c r="B145" s="2" t="inlineStr">
        <is>
          <t>C072</t>
        </is>
      </c>
      <c r="C145" s="2" t="inlineStr">
        <is>
          <t>Agri Input and Farm Service Business Ideas</t>
        </is>
      </c>
      <c r="D145" s="2" t="inlineStr">
        <is>
          <t>Spray Service for Fields, Drip and Pipe Setup, Harvest Crew Supply, Crop Advice Visit, Produce Van to Market</t>
        </is>
      </c>
      <c r="E145" s="2" t="inlineStr"/>
      <c r="F145" s="2" t="inlineStr">
        <is>
          <t>todo</t>
        </is>
      </c>
      <c r="G145" s="2">
        <f>SUMPRODUCT((Paste!$B$2:$B$20000="OK")*REGEXMATCH(Paste!$C$2:$C$20000&amp;"","^C072-S(0[6-9]|10)-I"))</f>
        <v/>
      </c>
      <c r="H145" s="2" t="inlineStr"/>
    </row>
    <row r="146">
      <c r="A146" s="2" t="inlineStr">
        <is>
          <t>B145</t>
        </is>
      </c>
      <c r="B146" s="2" t="inlineStr">
        <is>
          <t>C073</t>
        </is>
      </c>
      <c r="C146" s="2" t="inlineStr">
        <is>
          <t>Food Processing Business Ideas</t>
        </is>
      </c>
      <c r="D146" s="2" t="inlineStr">
        <is>
          <t>Atta and Grain Mill, Masala Grind and Pack, Small Oil Press, Rice Clean and Pack, Dal Clean and Pack</t>
        </is>
      </c>
      <c r="E146" s="2" t="inlineStr"/>
      <c r="F146" s="2" t="inlineStr">
        <is>
          <t>todo</t>
        </is>
      </c>
      <c r="G146" s="2">
        <f>SUMPRODUCT((Paste!$B$2:$B$20000="OK")*REGEXMATCH(Paste!$C$2:$C$20000&amp;"","^C073-S0[1-5]-I"))</f>
        <v/>
      </c>
      <c r="H146" s="2" t="inlineStr"/>
    </row>
    <row r="147">
      <c r="A147" s="2" t="inlineStr">
        <is>
          <t>B146</t>
        </is>
      </c>
      <c r="B147" s="2" t="inlineStr">
        <is>
          <t>C073</t>
        </is>
      </c>
      <c r="C147" s="2" t="inlineStr">
        <is>
          <t>Food Processing Business Ideas</t>
        </is>
      </c>
      <c r="D147" s="2" t="inlineStr">
        <is>
          <t>Fruit Pulp Unit, Dried Food Unit, Bakery Input Supply, Cold Press Food Product, Instant Mix Packing</t>
        </is>
      </c>
      <c r="E147" s="2" t="inlineStr"/>
      <c r="F147" s="2" t="inlineStr">
        <is>
          <t>todo</t>
        </is>
      </c>
      <c r="G147" s="2">
        <f>SUMPRODUCT((Paste!$B$2:$B$20000="OK")*REGEXMATCH(Paste!$C$2:$C$20000&amp;"","^C073-S(0[6-9]|10)-I"))</f>
        <v/>
      </c>
      <c r="H147" s="2" t="inlineStr"/>
    </row>
    <row r="148">
      <c r="A148" s="2" t="inlineStr">
        <is>
          <t>B147</t>
        </is>
      </c>
      <c r="B148" s="2" t="inlineStr">
        <is>
          <t>C074</t>
        </is>
      </c>
      <c r="C148" s="2" t="inlineStr">
        <is>
          <t>Fisheries and Aquaculture Business Ideas</t>
        </is>
      </c>
      <c r="D148" s="2" t="inlineStr">
        <is>
          <t>Pond Fish Growing, Fish Seed Nursery, Ornamental Fish Breeding, Pond Care Service, Fish Feed Supply</t>
        </is>
      </c>
      <c r="E148" s="2" t="inlineStr"/>
      <c r="F148" s="2" t="inlineStr">
        <is>
          <t>todo</t>
        </is>
      </c>
      <c r="G148" s="2">
        <f>SUMPRODUCT((Paste!$B$2:$B$20000="OK")*REGEXMATCH(Paste!$C$2:$C$20000&amp;"","^C074-S0[1-5]-I"))</f>
        <v/>
      </c>
      <c r="H148" s="2" t="inlineStr"/>
    </row>
    <row r="149">
      <c r="A149" s="2" t="inlineStr">
        <is>
          <t>B148</t>
        </is>
      </c>
      <c r="B149" s="2" t="inlineStr">
        <is>
          <t>C074</t>
        </is>
      </c>
      <c r="C149" s="2" t="inlineStr">
        <is>
          <t>Fisheries and Aquaculture Business Ideas</t>
        </is>
      </c>
      <c r="D149" s="2" t="inlineStr">
        <is>
          <t>Dried Fish Processing, Home Aquarium Setup, Live Fish Shop, Coastal Pond Culture, Village Pond Fishery</t>
        </is>
      </c>
      <c r="E149" s="2" t="inlineStr"/>
      <c r="F149" s="2" t="inlineStr">
        <is>
          <t>todo</t>
        </is>
      </c>
      <c r="G149" s="2">
        <f>SUMPRODUCT((Paste!$B$2:$B$20000="OK")*REGEXMATCH(Paste!$C$2:$C$20000&amp;"","^C074-S(0[6-9]|10)-I"))</f>
        <v/>
      </c>
      <c r="H149" s="2" t="inlineStr"/>
    </row>
    <row r="150">
      <c r="A150" s="2" t="inlineStr">
        <is>
          <t>B149</t>
        </is>
      </c>
      <c r="B150" s="2" t="inlineStr">
        <is>
          <t>C075</t>
        </is>
      </c>
      <c r="C150" s="2" t="inlineStr">
        <is>
          <t>Home Services Business Ideas</t>
        </is>
      </c>
      <c r="D150" s="2" t="inlineStr">
        <is>
          <t>Booked Home Cleaning, Home Cook Introduction Service, House Help Staffing, Handyman Visit Service, Sofa and Furnishing Clean</t>
        </is>
      </c>
      <c r="E150" s="2" t="inlineStr"/>
      <c r="F150" s="2" t="inlineStr">
        <is>
          <t>todo</t>
        </is>
      </c>
      <c r="G150" s="2">
        <f>SUMPRODUCT((Paste!$B$2:$B$20000="OK")*REGEXMATCH(Paste!$C$2:$C$20000&amp;"","^C075-S0[1-5]-I"))</f>
        <v/>
      </c>
      <c r="H150" s="2" t="inlineStr"/>
    </row>
    <row r="151">
      <c r="A151" s="2" t="inlineStr">
        <is>
          <t>B150</t>
        </is>
      </c>
      <c r="B151" s="2" t="inlineStr">
        <is>
          <t>C075</t>
        </is>
      </c>
      <c r="C151" s="2" t="inlineStr">
        <is>
          <t>Home Services Business Ideas</t>
        </is>
      </c>
      <c r="D151" s="2" t="inlineStr">
        <is>
          <t>Chimney and Kitchen Clean, Overhead Tank Clean, New Home Handover Clean, Elder House Help, Building Housekeeping Contract</t>
        </is>
      </c>
      <c r="E151" s="2" t="inlineStr"/>
      <c r="F151" s="2" t="inlineStr">
        <is>
          <t>todo</t>
        </is>
      </c>
      <c r="G151" s="2">
        <f>SUMPRODUCT((Paste!$B$2:$B$20000="OK")*REGEXMATCH(Paste!$C$2:$C$20000&amp;"","^C075-S(0[6-9]|10)-I"))</f>
        <v/>
      </c>
      <c r="H151" s="2" t="inlineStr"/>
    </row>
    <row r="152">
      <c r="A152" s="2" t="inlineStr">
        <is>
          <t>B151</t>
        </is>
      </c>
      <c r="B152" s="2" t="inlineStr">
        <is>
          <t>C076</t>
        </is>
      </c>
      <c r="C152" s="2" t="inlineStr">
        <is>
          <t>Cleaning and Housekeeping Business Ideas</t>
        </is>
      </c>
      <c r="D152" s="2" t="inlineStr">
        <is>
          <t>Full Home Deep Clean, Washroom Cleaning Visit, Office Daily Clean, After Worksite Clean, Kitchen Degrease Service</t>
        </is>
      </c>
      <c r="E152" s="2" t="inlineStr"/>
      <c r="F152" s="2" t="inlineStr">
        <is>
          <t>todo</t>
        </is>
      </c>
      <c r="G152" s="2">
        <f>SUMPRODUCT((Paste!$B$2:$B$20000="OK")*REGEXMATCH(Paste!$C$2:$C$20000&amp;"","^C076-S0[1-5]-I"))</f>
        <v/>
      </c>
      <c r="H152" s="2" t="inlineStr"/>
    </row>
    <row r="153">
      <c r="A153" s="2" t="inlineStr">
        <is>
          <t>B152</t>
        </is>
      </c>
      <c r="B153" s="2" t="inlineStr">
        <is>
          <t>C076</t>
        </is>
      </c>
      <c r="C153" s="2" t="inlineStr">
        <is>
          <t>Cleaning and Housekeeping Business Ideas</t>
        </is>
      </c>
      <c r="D153" s="2" t="inlineStr">
        <is>
          <t>Sofa Shampoo Visit, Empty House Clean, Glass and Front Clean, Hostel Clean Contract, Repeat Cleaning Plan</t>
        </is>
      </c>
      <c r="E153" s="2" t="inlineStr"/>
      <c r="F153" s="2" t="inlineStr">
        <is>
          <t>todo</t>
        </is>
      </c>
      <c r="G153" s="2">
        <f>SUMPRODUCT((Paste!$B$2:$B$20000="OK")*REGEXMATCH(Paste!$C$2:$C$20000&amp;"","^C076-S(0[6-9]|10)-I"))</f>
        <v/>
      </c>
      <c r="H153" s="2" t="inlineStr"/>
    </row>
    <row r="154">
      <c r="A154" s="2" t="inlineStr">
        <is>
          <t>B153</t>
        </is>
      </c>
      <c r="B154" s="2" t="inlineStr">
        <is>
          <t>C077</t>
        </is>
      </c>
      <c r="C154" s="2" t="inlineStr">
        <is>
          <t>Repair and Maintenance Business Ideas</t>
        </is>
      </c>
      <c r="D154" s="2" t="inlineStr">
        <is>
          <t>Phone Repair Counter, Computer Repair Desk, Bike Repair Garage, Home Machine Repair Visit, Furniture Fix and Polish</t>
        </is>
      </c>
      <c r="E154" s="2" t="inlineStr"/>
      <c r="F154" s="2" t="inlineStr">
        <is>
          <t>todo</t>
        </is>
      </c>
      <c r="G154" s="2">
        <f>SUMPRODUCT((Paste!$B$2:$B$20000="OK")*REGEXMATCH(Paste!$C$2:$C$20000&amp;"","^C077-S0[1-5]-I"))</f>
        <v/>
      </c>
      <c r="H154" s="2" t="inlineStr"/>
    </row>
    <row r="155">
      <c r="A155" s="2" t="inlineStr">
        <is>
          <t>B154</t>
        </is>
      </c>
      <c r="B155" s="2" t="inlineStr">
        <is>
          <t>C077</t>
        </is>
      </c>
      <c r="C155" s="2" t="inlineStr">
        <is>
          <t>Repair and Maintenance Business Ideas</t>
        </is>
      </c>
      <c r="D155" s="2" t="inlineStr">
        <is>
          <t>Small Gadget Repair, Power Backup Repair, Water Pump Repair, Lock and Door Hardware Repair, Yearly Upkeep Contract</t>
        </is>
      </c>
      <c r="E155" s="2" t="inlineStr"/>
      <c r="F155" s="2" t="inlineStr">
        <is>
          <t>todo</t>
        </is>
      </c>
      <c r="G155" s="2">
        <f>SUMPRODUCT((Paste!$B$2:$B$20000="OK")*REGEXMATCH(Paste!$C$2:$C$20000&amp;"","^C077-S(0[6-9]|10)-I"))</f>
        <v/>
      </c>
      <c r="H155" s="2" t="inlineStr"/>
    </row>
    <row r="156">
      <c r="A156" s="2" t="inlineStr">
        <is>
          <t>B155</t>
        </is>
      </c>
      <c r="B156" s="2" t="inlineStr">
        <is>
          <t>C078</t>
        </is>
      </c>
      <c r="C156" s="2" t="inlineStr">
        <is>
          <t>Appliance Repair Business Ideas</t>
        </is>
      </c>
      <c r="D156" s="2" t="inlineStr">
        <is>
          <t>Washing Machine Repair Visit, Fridge Repair Service, Air Conditioner Care, Oven and Microwave Repair, Water Purifier Care</t>
        </is>
      </c>
      <c r="E156" s="2" t="inlineStr"/>
      <c r="F156" s="2" t="inlineStr">
        <is>
          <t>todo</t>
        </is>
      </c>
      <c r="G156" s="2">
        <f>SUMPRODUCT((Paste!$B$2:$B$20000="OK")*REGEXMATCH(Paste!$C$2:$C$20000&amp;"","^C078-S0[1-5]-I"))</f>
        <v/>
      </c>
      <c r="H156" s="2" t="inlineStr"/>
    </row>
    <row r="157">
      <c r="A157" s="2" t="inlineStr">
        <is>
          <t>B156</t>
        </is>
      </c>
      <c r="B157" s="2" t="inlineStr">
        <is>
          <t>C078</t>
        </is>
      </c>
      <c r="C157" s="2" t="inlineStr">
        <is>
          <t>Appliance Repair Business Ideas</t>
        </is>
      </c>
      <c r="D157" s="2" t="inlineStr">
        <is>
          <t>Small Kitchen Appliance Repair, Television Repair Service, Water Heater Repair, Kitchen Chimney Repair, Multi Machine Home Visit</t>
        </is>
      </c>
      <c r="E157" s="2" t="inlineStr"/>
      <c r="F157" s="2" t="inlineStr">
        <is>
          <t>todo</t>
        </is>
      </c>
      <c r="G157" s="2">
        <f>SUMPRODUCT((Paste!$B$2:$B$20000="OK")*REGEXMATCH(Paste!$C$2:$C$20000&amp;"","^C078-S(0[6-9]|10)-I"))</f>
        <v/>
      </c>
      <c r="H157" s="2" t="inlineStr"/>
    </row>
    <row r="158">
      <c r="A158" s="2" t="inlineStr">
        <is>
          <t>B157</t>
        </is>
      </c>
      <c r="B158" s="2" t="inlineStr">
        <is>
          <t>C079</t>
        </is>
      </c>
      <c r="C158" s="2" t="inlineStr">
        <is>
          <t>Electrical and Plumbing Business Ideas</t>
        </is>
      </c>
      <c r="D158" s="2" t="inlineStr">
        <is>
          <t>Home Wiring Work, Switchboard and Fitting Work, Power Backup Fitment, Leak and Block Fix, Bathroom Fitting Work</t>
        </is>
      </c>
      <c r="E158" s="2" t="inlineStr"/>
      <c r="F158" s="2" t="inlineStr">
        <is>
          <t>todo</t>
        </is>
      </c>
      <c r="G158" s="2">
        <f>SUMPRODUCT((Paste!$B$2:$B$20000="OK")*REGEXMATCH(Paste!$C$2:$C$20000&amp;"","^C079-S0[1-5]-I"))</f>
        <v/>
      </c>
      <c r="H158" s="2" t="inlineStr"/>
    </row>
    <row r="159">
      <c r="A159" s="2" t="inlineStr">
        <is>
          <t>B158</t>
        </is>
      </c>
      <c r="B159" s="2" t="inlineStr">
        <is>
          <t>C079</t>
        </is>
      </c>
      <c r="C159" s="2" t="inlineStr">
        <is>
          <t>Electrical and Plumbing Business Ideas</t>
        </is>
      </c>
      <c r="D159" s="2" t="inlineStr">
        <is>
          <t>Water Pump Fitment, New House Electrical Work, Common Area Electrical Care, Pipe and Tap Work, Urgent Electrician Call</t>
        </is>
      </c>
      <c r="E159" s="2" t="inlineStr"/>
      <c r="F159" s="2" t="inlineStr">
        <is>
          <t>todo</t>
        </is>
      </c>
      <c r="G159" s="2">
        <f>SUMPRODUCT((Paste!$B$2:$B$20000="OK")*REGEXMATCH(Paste!$C$2:$C$20000&amp;"","^C079-S(0[6-9]|10)-I"))</f>
        <v/>
      </c>
      <c r="H159" s="2" t="inlineStr"/>
    </row>
    <row r="160">
      <c r="A160" s="2" t="inlineStr">
        <is>
          <t>B159</t>
        </is>
      </c>
      <c r="B160" s="2" t="inlineStr">
        <is>
          <t>C080</t>
        </is>
      </c>
      <c r="C160" s="2" t="inlineStr">
        <is>
          <t>Painting and Home Renovation Business Ideas</t>
        </is>
      </c>
      <c r="D160" s="2" t="inlineStr">
        <is>
          <t>Single Room Paint Work, Full House Paint Contract, Leak Proofing Coat Work, Feature Wall Finish, Wood Finish Touch Up</t>
        </is>
      </c>
      <c r="E160" s="2" t="inlineStr"/>
      <c r="F160" s="2" t="inlineStr">
        <is>
          <t>todo</t>
        </is>
      </c>
      <c r="G160" s="2">
        <f>SUMPRODUCT((Paste!$B$2:$B$20000="OK")*REGEXMATCH(Paste!$C$2:$C$20000&amp;"","^C080-S0[1-5]-I"))</f>
        <v/>
      </c>
      <c r="H160" s="2" t="inlineStr"/>
    </row>
    <row r="161">
      <c r="A161" s="2" t="inlineStr">
        <is>
          <t>B160</t>
        </is>
      </c>
      <c r="B161" s="2" t="inlineStr">
        <is>
          <t>C080</t>
        </is>
      </c>
      <c r="C161" s="2" t="inlineStr">
        <is>
          <t>Painting and Home Renovation Business Ideas</t>
        </is>
      </c>
      <c r="D161" s="2" t="inlineStr">
        <is>
          <t>Rental Home Paint Refresh, Outer Wall Paint Work, Small Civil Repair Job, Bathroom Refresh Work, Festival Home Paint Touch</t>
        </is>
      </c>
      <c r="E161" s="2" t="inlineStr"/>
      <c r="F161" s="2" t="inlineStr">
        <is>
          <t>todo</t>
        </is>
      </c>
      <c r="G161" s="2">
        <f>SUMPRODUCT((Paste!$B$2:$B$20000="OK")*REGEXMATCH(Paste!$C$2:$C$20000&amp;"","^C080-S(0[6-9]|10)-I"))</f>
        <v/>
      </c>
      <c r="H161" s="2" t="inlineStr"/>
    </row>
    <row r="162">
      <c r="A162" s="2" t="inlineStr">
        <is>
          <t>B161</t>
        </is>
      </c>
      <c r="B162" s="2" t="inlineStr">
        <is>
          <t>C081</t>
        </is>
      </c>
      <c r="C162" s="2" t="inlineStr">
        <is>
          <t>Carpentry and Furniture Business Ideas</t>
        </is>
      </c>
      <c r="D162" s="2" t="inlineStr">
        <is>
          <t>Made to Measure Furniture, Kitchen Woodwork, Broken Furniture Repair, Bed and Seating Making, Door and Window Woodwork</t>
        </is>
      </c>
      <c r="E162" s="2" t="inlineStr"/>
      <c r="F162" s="2" t="inlineStr">
        <is>
          <t>todo</t>
        </is>
      </c>
      <c r="G162" s="2">
        <f>SUMPRODUCT((Paste!$B$2:$B$20000="OK")*REGEXMATCH(Paste!$C$2:$C$20000&amp;"","^C081-S0[1-5]-I"))</f>
        <v/>
      </c>
      <c r="H162" s="2" t="inlineStr"/>
    </row>
    <row r="163">
      <c r="A163" s="2" t="inlineStr">
        <is>
          <t>B162</t>
        </is>
      </c>
      <c r="B163" s="2" t="inlineStr">
        <is>
          <t>C081</t>
        </is>
      </c>
      <c r="C163" s="2" t="inlineStr">
        <is>
          <t>Carpentry and Furniture Business Ideas</t>
        </is>
      </c>
      <c r="D163" s="2" t="inlineStr">
        <is>
          <t>Work Desk Fit Out, Renewed Old Furniture, Carpenter on Call, Furniture Finish Service, Town Furniture Workshop</t>
        </is>
      </c>
      <c r="E163" s="2" t="inlineStr"/>
      <c r="F163" s="2" t="inlineStr">
        <is>
          <t>todo</t>
        </is>
      </c>
      <c r="G163" s="2">
        <f>SUMPRODUCT((Paste!$B$2:$B$20000="OK")*REGEXMATCH(Paste!$C$2:$C$20000&amp;"","^C081-S(0[6-9]|10)-I"))</f>
        <v/>
      </c>
      <c r="H163" s="2" t="inlineStr"/>
    </row>
    <row r="164">
      <c r="A164" s="2" t="inlineStr">
        <is>
          <t>B163</t>
        </is>
      </c>
      <c r="B164" s="2" t="inlineStr">
        <is>
          <t>C082</t>
        </is>
      </c>
      <c r="C164" s="2" t="inlineStr">
        <is>
          <t>Interior and Home Decor Business Ideas</t>
        </is>
      </c>
      <c r="D164" s="2" t="inlineStr">
        <is>
          <t>Room Look Advice, Curtain and Cover Decor, Wall Decor Selling, Festival Home Styling, Rented Home Setup Service</t>
        </is>
      </c>
      <c r="E164" s="2" t="inlineStr"/>
      <c r="F164" s="2" t="inlineStr">
        <is>
          <t>todo</t>
        </is>
      </c>
      <c r="G164" s="2">
        <f>SUMPRODUCT((Paste!$B$2:$B$20000="OK")*REGEXMATCH(Paste!$C$2:$C$20000&amp;"","^C082-S0[1-5]-I"))</f>
        <v/>
      </c>
      <c r="H164" s="2" t="inlineStr"/>
    </row>
    <row r="165">
      <c r="A165" s="2" t="inlineStr">
        <is>
          <t>B164</t>
        </is>
      </c>
      <c r="B165" s="2" t="inlineStr">
        <is>
          <t>C082</t>
        </is>
      </c>
      <c r="C165" s="2" t="inlineStr">
        <is>
          <t>Interior and Home Decor Business Ideas</t>
        </is>
      </c>
      <c r="D165" s="2" t="inlineStr">
        <is>
          <t>Traditional Layout Advice, Simple Room Refresh Service, Light Plan for Rooms, Children Room Styling, Shop Floor Styling</t>
        </is>
      </c>
      <c r="E165" s="2" t="inlineStr"/>
      <c r="F165" s="2" t="inlineStr">
        <is>
          <t>todo</t>
        </is>
      </c>
      <c r="G165" s="2">
        <f>SUMPRODUCT((Paste!$B$2:$B$20000="OK")*REGEXMATCH(Paste!$C$2:$C$20000&amp;"","^C082-S(0[6-9]|10)-I"))</f>
        <v/>
      </c>
      <c r="H165" s="2" t="inlineStr"/>
    </row>
    <row r="166">
      <c r="A166" s="2" t="inlineStr">
        <is>
          <t>B165</t>
        </is>
      </c>
      <c r="B166" s="2" t="inlineStr">
        <is>
          <t>C083</t>
        </is>
      </c>
      <c r="C166" s="2" t="inlineStr">
        <is>
          <t>Laundry and Garment Care Business Ideas</t>
        </is>
      </c>
      <c r="D166" s="2" t="inlineStr">
        <is>
          <t>Wash and Fold Route, Steam Iron Visit, Dry Clean Collection Counter, Society Laundry Pickup, Heavy Linen Wash</t>
        </is>
      </c>
      <c r="E166" s="2" t="inlineStr"/>
      <c r="F166" s="2" t="inlineStr">
        <is>
          <t>todo</t>
        </is>
      </c>
      <c r="G166" s="2">
        <f>SUMPRODUCT((Paste!$B$2:$B$20000="OK")*REGEXMATCH(Paste!$C$2:$C$20000&amp;"","^C083-S0[1-5]-I"))</f>
        <v/>
      </c>
      <c r="H166" s="2" t="inlineStr"/>
    </row>
    <row r="167">
      <c r="A167" s="2" t="inlineStr">
        <is>
          <t>B166</t>
        </is>
      </c>
      <c r="B167" s="2" t="inlineStr">
        <is>
          <t>C083</t>
        </is>
      </c>
      <c r="C167" s="2" t="inlineStr">
        <is>
          <t>Laundry and Garment Care Business Ideas</t>
        </is>
      </c>
      <c r="D167" s="2" t="inlineStr">
        <is>
          <t>Saree Press Service, Shoe Clean Add On, Lodge Linen Wash Contract, Same Day Iron Service, Weekly Laundry Route</t>
        </is>
      </c>
      <c r="E167" s="2" t="inlineStr"/>
      <c r="F167" s="2" t="inlineStr">
        <is>
          <t>todo</t>
        </is>
      </c>
      <c r="G167" s="2">
        <f>SUMPRODUCT((Paste!$B$2:$B$20000="OK")*REGEXMATCH(Paste!$C$2:$C$20000&amp;"","^C083-S(0[6-9]|10)-I"))</f>
        <v/>
      </c>
      <c r="H167" s="2" t="inlineStr"/>
    </row>
    <row r="168">
      <c r="A168" s="2" t="inlineStr">
        <is>
          <t>B167</t>
        </is>
      </c>
      <c r="B168" s="2" t="inlineStr">
        <is>
          <t>C084</t>
        </is>
      </c>
      <c r="C168" s="2" t="inlineStr">
        <is>
          <t>Pest Control and Hygiene Business Ideas</t>
        </is>
      </c>
      <c r="D168" s="2" t="inlineStr">
        <is>
          <t>Home Insect Control, Wood Pest Treatment, Society Outdoor Pest Care, Eatery Pest Contract, Store Room Pest Care</t>
        </is>
      </c>
      <c r="E168" s="2" t="inlineStr"/>
      <c r="F168" s="2" t="inlineStr">
        <is>
          <t>todo</t>
        </is>
      </c>
      <c r="G168" s="2">
        <f>SUMPRODUCT((Paste!$B$2:$B$20000="OK")*REGEXMATCH(Paste!$C$2:$C$20000&amp;"","^C084-S0[1-5]-I"))</f>
        <v/>
      </c>
      <c r="H168" s="2" t="inlineStr"/>
    </row>
    <row r="169">
      <c r="A169" s="2" t="inlineStr">
        <is>
          <t>B168</t>
        </is>
      </c>
      <c r="B169" s="2" t="inlineStr">
        <is>
          <t>C084</t>
        </is>
      </c>
      <c r="C169" s="2" t="inlineStr">
        <is>
          <t>Pest Control and Hygiene Business Ideas</t>
        </is>
      </c>
      <c r="D169" s="2" t="inlineStr">
        <is>
          <t>Pre Build Wood Protection, Fabric Pest Treatment, Rodent Control Visit, Mosquito Season Service, Yearly Pest Care Plan</t>
        </is>
      </c>
      <c r="E169" s="2" t="inlineStr"/>
      <c r="F169" s="2" t="inlineStr">
        <is>
          <t>todo</t>
        </is>
      </c>
      <c r="G169" s="2">
        <f>SUMPRODUCT((Paste!$B$2:$B$20000="OK")*REGEXMATCH(Paste!$C$2:$C$20000&amp;"","^C084-S(0[6-9]|10)-I"))</f>
        <v/>
      </c>
      <c r="H169" s="2" t="inlineStr"/>
    </row>
    <row r="170">
      <c r="A170" s="2" t="inlineStr">
        <is>
          <t>B169</t>
        </is>
      </c>
      <c r="B170" s="2" t="inlineStr">
        <is>
          <t>C085</t>
        </is>
      </c>
      <c r="C170" s="2" t="inlineStr">
        <is>
          <t>Home Organization Business Ideas</t>
        </is>
      </c>
      <c r="D170" s="2" t="inlineStr">
        <is>
          <t>Kitchen Reset Service, Clothes Storage Reset, Shifting Day Organising, Study Corner Setup, Festival Storage Setup</t>
        </is>
      </c>
      <c r="E170" s="2" t="inlineStr"/>
      <c r="F170" s="2" t="inlineStr">
        <is>
          <t>todo</t>
        </is>
      </c>
      <c r="G170" s="2">
        <f>SUMPRODUCT((Paste!$B$2:$B$20000="OK")*REGEXMATCH(Paste!$C$2:$C$20000&amp;"","^C085-S0[1-5]-I"))</f>
        <v/>
      </c>
      <c r="H170" s="2" t="inlineStr"/>
    </row>
    <row r="171">
      <c r="A171" s="2" t="inlineStr">
        <is>
          <t>B170</t>
        </is>
      </c>
      <c r="B171" s="2" t="inlineStr">
        <is>
          <t>C085</t>
        </is>
      </c>
      <c r="C171" s="2" t="inlineStr">
        <is>
          <t>Home Organization Business Ideas</t>
        </is>
      </c>
      <c r="D171" s="2" t="inlineStr">
        <is>
          <t>Small Home Space Plan, Home Item Sorting Service, Prayer Room Setup, Rental Home Organising, Senior Home Simplify Service</t>
        </is>
      </c>
      <c r="E171" s="2" t="inlineStr"/>
      <c r="F171" s="2" t="inlineStr">
        <is>
          <t>todo</t>
        </is>
      </c>
      <c r="G171" s="2">
        <f>SUMPRODUCT((Paste!$B$2:$B$20000="OK")*REGEXMATCH(Paste!$C$2:$C$20000&amp;"","^C085-S(0[6-9]|10)-I"))</f>
        <v/>
      </c>
      <c r="H171" s="2" t="inlineStr"/>
    </row>
    <row r="172">
      <c r="A172" s="2" t="inlineStr">
        <is>
          <t>B171</t>
        </is>
      </c>
      <c r="B172" s="2" t="inlineStr">
        <is>
          <t>C086</t>
        </is>
      </c>
      <c r="C172" s="2" t="inlineStr">
        <is>
          <t>Security and Safety Service Business Ideas</t>
        </is>
      </c>
      <c r="D172" s="2" t="inlineStr">
        <is>
          <t>Camera Fitment Service, Door Video Phone Setup, Guard Staff Supply, Fire Safety Gear Supply, Attendance Device Setup</t>
        </is>
      </c>
      <c r="E172" s="2" t="inlineStr"/>
      <c r="F172" s="2" t="inlineStr">
        <is>
          <t>todo</t>
        </is>
      </c>
      <c r="G172" s="2">
        <f>SUMPRODUCT((Paste!$B$2:$B$20000="OK")*REGEXMATCH(Paste!$C$2:$C$20000&amp;"","^C086-S0[1-5]-I"))</f>
        <v/>
      </c>
      <c r="H172" s="2" t="inlineStr"/>
    </row>
    <row r="173">
      <c r="A173" s="2" t="inlineStr">
        <is>
          <t>B172</t>
        </is>
      </c>
      <c r="B173" s="2" t="inlineStr">
        <is>
          <t>C086</t>
        </is>
      </c>
      <c r="C173" s="2" t="inlineStr">
        <is>
          <t>Security and Safety Service Business Ideas</t>
        </is>
      </c>
      <c r="D173" s="2" t="inlineStr">
        <is>
          <t>Shutter and Lock Upgrade, Vehicle Track Device Fitment, Home Alert Device Setup, Function Security Team, Small Premises Safety Check</t>
        </is>
      </c>
      <c r="E173" s="2" t="inlineStr"/>
      <c r="F173" s="2" t="inlineStr">
        <is>
          <t>todo</t>
        </is>
      </c>
      <c r="G173" s="2">
        <f>SUMPRODUCT((Paste!$B$2:$B$20000="OK")*REGEXMATCH(Paste!$C$2:$C$20000&amp;"","^C086-S(0[6-9]|10)-I"))</f>
        <v/>
      </c>
      <c r="H173" s="2" t="inlineStr"/>
    </row>
    <row r="174">
      <c r="A174" s="2" t="inlineStr">
        <is>
          <t>B173</t>
        </is>
      </c>
      <c r="B174" s="2" t="inlineStr">
        <is>
          <t>C087</t>
        </is>
      </c>
      <c r="C174" s="2" t="inlineStr">
        <is>
          <t>Event and Celebration Business Ideas</t>
        </is>
      </c>
      <c r="D174" s="2" t="inlineStr">
        <is>
          <t>Birthday Setup Service, Society Event Support, Office Celebration Service, School Function Support, Religious Event Setup</t>
        </is>
      </c>
      <c r="E174" s="2" t="inlineStr"/>
      <c r="F174" s="2" t="inlineStr">
        <is>
          <t>todo</t>
        </is>
      </c>
      <c r="G174" s="2">
        <f>SUMPRODUCT((Paste!$B$2:$B$20000="OK")*REGEXMATCH(Paste!$C$2:$C$20000&amp;"","^C087-S0[1-5]-I"))</f>
        <v/>
      </c>
      <c r="H174" s="2" t="inlineStr"/>
    </row>
    <row r="175">
      <c r="A175" s="2" t="inlineStr">
        <is>
          <t>B174</t>
        </is>
      </c>
      <c r="B175" s="2" t="inlineStr">
        <is>
          <t>C087</t>
        </is>
      </c>
      <c r="C175" s="2" t="inlineStr">
        <is>
          <t>Event and Celebration Business Ideas</t>
        </is>
      </c>
      <c r="D175" s="2" t="inlineStr">
        <is>
          <t>Anniversary Setup Service, Children Theme Party, Sound and Light Hire, Event Host Booking, End to End Event Desk</t>
        </is>
      </c>
      <c r="E175" s="2" t="inlineStr"/>
      <c r="F175" s="2" t="inlineStr">
        <is>
          <t>todo</t>
        </is>
      </c>
      <c r="G175" s="2">
        <f>SUMPRODUCT((Paste!$B$2:$B$20000="OK")*REGEXMATCH(Paste!$C$2:$C$20000&amp;"","^C087-S(0[6-9]|10)-I"))</f>
        <v/>
      </c>
      <c r="H175" s="2" t="inlineStr"/>
    </row>
    <row r="176">
      <c r="A176" s="2" t="inlineStr">
        <is>
          <t>B175</t>
        </is>
      </c>
      <c r="B176" s="2" t="inlineStr">
        <is>
          <t>C088</t>
        </is>
      </c>
      <c r="C176" s="2" t="inlineStr">
        <is>
          <t>Wedding Service Business Ideas</t>
        </is>
      </c>
      <c r="D176" s="2" t="inlineStr">
        <is>
          <t>Wedding Day Coordination, Wedding Flower Decor, Wedding Photo and Film, Wedding Food Coordination, Stage and Entry Setup</t>
        </is>
      </c>
      <c r="E176" s="2" t="inlineStr"/>
      <c r="F176" s="2" t="inlineStr">
        <is>
          <t>todo</t>
        </is>
      </c>
      <c r="G176" s="2">
        <f>SUMPRODUCT((Paste!$B$2:$B$20000="OK")*REGEXMATCH(Paste!$C$2:$C$20000&amp;"","^C088-S0[1-5]-I"))</f>
        <v/>
      </c>
      <c r="H176" s="2" t="inlineStr"/>
    </row>
    <row r="177">
      <c r="A177" s="2" t="inlineStr">
        <is>
          <t>B176</t>
        </is>
      </c>
      <c r="B177" s="2" t="inlineStr">
        <is>
          <t>C088</t>
        </is>
      </c>
      <c r="C177" s="2" t="inlineStr">
        <is>
          <t>Wedding Service Business Ideas</t>
        </is>
      </c>
      <c r="D177" s="2" t="inlineStr">
        <is>
          <t>Wedding Card and Favour, Guest Movement on Wedding Day, Pre Wedding Shoot Help, Vendor Shortlist Service, Home Wedding Planning</t>
        </is>
      </c>
      <c r="E177" s="2" t="inlineStr"/>
      <c r="F177" s="2" t="inlineStr">
        <is>
          <t>todo</t>
        </is>
      </c>
      <c r="G177" s="2">
        <f>SUMPRODUCT((Paste!$B$2:$B$20000="OK")*REGEXMATCH(Paste!$C$2:$C$20000&amp;"","^C088-S(0[6-9]|10)-I"))</f>
        <v/>
      </c>
      <c r="H177" s="2" t="inlineStr"/>
    </row>
    <row r="178">
      <c r="A178" s="2" t="inlineStr">
        <is>
          <t>B177</t>
        </is>
      </c>
      <c r="B178" s="2" t="inlineStr">
        <is>
          <t>C089</t>
        </is>
      </c>
      <c r="C178" s="2" t="inlineStr">
        <is>
          <t>Retail Shop Business Ideas</t>
        </is>
      </c>
      <c r="D178" s="2" t="inlineStr">
        <is>
          <t>Kirana Daily Shop, Cosmetic and Fancy Shop, Books and Stationery Shop, Phone and Accessory Shop, Clothing Retail Shop</t>
        </is>
      </c>
      <c r="E178" s="2" t="inlineStr"/>
      <c r="F178" s="2" t="inlineStr">
        <is>
          <t>todo</t>
        </is>
      </c>
      <c r="G178" s="2">
        <f>SUMPRODUCT((Paste!$B$2:$B$20000="OK")*REGEXMATCH(Paste!$C$2:$C$20000&amp;"","^C089-S0[1-5]-I"))</f>
        <v/>
      </c>
      <c r="H178" s="2" t="inlineStr"/>
    </row>
    <row r="179">
      <c r="A179" s="2" t="inlineStr">
        <is>
          <t>B178</t>
        </is>
      </c>
      <c r="B179" s="2" t="inlineStr">
        <is>
          <t>C089</t>
        </is>
      </c>
      <c r="C179" s="2" t="inlineStr">
        <is>
          <t>Retail Shop Business Ideas</t>
        </is>
      </c>
      <c r="D179" s="2" t="inlineStr">
        <is>
          <t>Shoe Retail Shop, Hardware and Electric Shop, Chemist Retail Shop, Toy Shop, Small Format Grocery Shop</t>
        </is>
      </c>
      <c r="E179" s="2" t="inlineStr"/>
      <c r="F179" s="2" t="inlineStr">
        <is>
          <t>todo</t>
        </is>
      </c>
      <c r="G179" s="2">
        <f>SUMPRODUCT((Paste!$B$2:$B$20000="OK")*REGEXMATCH(Paste!$C$2:$C$20000&amp;"","^C089-S(0[6-9]|10)-I"))</f>
        <v/>
      </c>
      <c r="H179" s="2" t="inlineStr"/>
    </row>
    <row r="180">
      <c r="A180" s="2" t="inlineStr">
        <is>
          <t>B179</t>
        </is>
      </c>
      <c r="B180" s="2" t="inlineStr">
        <is>
          <t>C090</t>
        </is>
      </c>
      <c r="C180" s="2" t="inlineStr">
        <is>
          <t>Trading and Wholesale Business Ideas</t>
        </is>
      </c>
      <c r="D180" s="2" t="inlineStr">
        <is>
          <t>Daily Goods Wholesale Route, Garment Lot Wholesale, Stationery Wholesale Desk, Building Goods Trading, Grain Trading Desk</t>
        </is>
      </c>
      <c r="E180" s="2" t="inlineStr"/>
      <c r="F180" s="2" t="inlineStr">
        <is>
          <t>todo</t>
        </is>
      </c>
      <c r="G180" s="2">
        <f>SUMPRODUCT((Paste!$B$2:$B$20000="OK")*REGEXMATCH(Paste!$C$2:$C$20000&amp;"","^C090-S0[1-5]-I"))</f>
        <v/>
      </c>
      <c r="H180" s="2" t="inlineStr"/>
    </row>
    <row r="181">
      <c r="A181" s="2" t="inlineStr">
        <is>
          <t>B180</t>
        </is>
      </c>
      <c r="B181" s="2" t="inlineStr">
        <is>
          <t>C090</t>
        </is>
      </c>
      <c r="C181" s="2" t="inlineStr">
        <is>
          <t>Trading and Wholesale Business Ideas</t>
        </is>
      </c>
      <c r="D181" s="2" t="inlineStr">
        <is>
          <t>Cosmetic Wholesale Lot, Phone Accessory Wholesale, Packing Goods Wholesale, Regional Goods Trading, Shop Supply Van Route</t>
        </is>
      </c>
      <c r="E181" s="2" t="inlineStr"/>
      <c r="F181" s="2" t="inlineStr">
        <is>
          <t>todo</t>
        </is>
      </c>
      <c r="G181" s="2">
        <f>SUMPRODUCT((Paste!$B$2:$B$20000="OK")*REGEXMATCH(Paste!$C$2:$C$20000&amp;"","^C090-S(0[6-9]|10)-I"))</f>
        <v/>
      </c>
      <c r="H181" s="2" t="inlineStr"/>
    </row>
    <row r="182">
      <c r="A182" s="2" t="inlineStr">
        <is>
          <t>B181</t>
        </is>
      </c>
      <c r="B182" s="2" t="inlineStr">
        <is>
          <t>C091</t>
        </is>
      </c>
      <c r="C182" s="2" t="inlineStr">
        <is>
          <t>Automobile and Two Wheeler Service Business Ideas</t>
        </is>
      </c>
      <c r="D182" s="2" t="inlineStr">
        <is>
          <t>Bike Periodic Service, Car Wash and Cabin Clean, Tyre and Puncture Care, Vehicle Battery Swap, Spare Part Counter</t>
        </is>
      </c>
      <c r="E182" s="2" t="inlineStr"/>
      <c r="F182" s="2" t="inlineStr">
        <is>
          <t>todo</t>
        </is>
      </c>
      <c r="G182" s="2">
        <f>SUMPRODUCT((Paste!$B$2:$B$20000="OK")*REGEXMATCH(Paste!$C$2:$C$20000&amp;"","^C091-S0[1-5]-I"))</f>
        <v/>
      </c>
      <c r="H182" s="2" t="inlineStr"/>
    </row>
    <row r="183">
      <c r="A183" s="2" t="inlineStr">
        <is>
          <t>B182</t>
        </is>
      </c>
      <c r="B183" s="2" t="inlineStr">
        <is>
          <t>C091</t>
        </is>
      </c>
      <c r="C183" s="2" t="inlineStr">
        <is>
          <t>Automobile and Two Wheeler Service Business Ideas</t>
        </is>
      </c>
      <c r="D183" s="2" t="inlineStr">
        <is>
          <t>Panel Paint and Dent Work, Vehicle Accessory Fitment, Pickup Drop Workshop, Used Bike Dealing, Vehicle Fleet Care Contract</t>
        </is>
      </c>
      <c r="E183" s="2" t="inlineStr"/>
      <c r="F183" s="2" t="inlineStr">
        <is>
          <t>todo</t>
        </is>
      </c>
      <c r="G183" s="2">
        <f>SUMPRODUCT((Paste!$B$2:$B$20000="OK")*REGEXMATCH(Paste!$C$2:$C$20000&amp;"","^C091-S(0[6-9]|10)-I"))</f>
        <v/>
      </c>
      <c r="H183" s="2" t="inlineStr"/>
    </row>
    <row r="184">
      <c r="A184" s="2" t="inlineStr">
        <is>
          <t>B183</t>
        </is>
      </c>
      <c r="B184" s="2" t="inlineStr">
        <is>
          <t>C092</t>
        </is>
      </c>
      <c r="C184" s="2" t="inlineStr">
        <is>
          <t>Transport and Delivery Business Ideas</t>
        </is>
      </c>
      <c r="D184" s="2" t="inlineStr">
        <is>
          <t>City Parcel Round, Meal Delivery Rider Team, School Cab Route, Staff Cab Contract, Light Goods Vehicle</t>
        </is>
      </c>
      <c r="E184" s="2" t="inlineStr"/>
      <c r="F184" s="2" t="inlineStr">
        <is>
          <t>todo</t>
        </is>
      </c>
      <c r="G184" s="2">
        <f>SUMPRODUCT((Paste!$B$2:$B$20000="OK")*REGEXMATCH(Paste!$C$2:$C$20000&amp;"","^C092-S0[1-5]-I"))</f>
        <v/>
      </c>
      <c r="H184" s="2" t="inlineStr"/>
    </row>
    <row r="185">
      <c r="A185" s="2" t="inlineStr">
        <is>
          <t>B184</t>
        </is>
      </c>
      <c r="B185" s="2" t="inlineStr">
        <is>
          <t>C092</t>
        </is>
      </c>
      <c r="C185" s="2" t="inlineStr">
        <is>
          <t>Transport and Delivery Business Ideas</t>
        </is>
      </c>
      <c r="D185" s="2" t="inlineStr">
        <is>
          <t>Bike Courier Round, Local Shifting Transport, Market Goods Transport, City to City Parcel, Sample and Paper Dispatch</t>
        </is>
      </c>
      <c r="E185" s="2" t="inlineStr"/>
      <c r="F185" s="2" t="inlineStr">
        <is>
          <t>todo</t>
        </is>
      </c>
      <c r="G185" s="2">
        <f>SUMPRODUCT((Paste!$B$2:$B$20000="OK")*REGEXMATCH(Paste!$C$2:$C$20000&amp;"","^C092-S(0[6-9]|10)-I"))</f>
        <v/>
      </c>
      <c r="H185" s="2" t="inlineStr"/>
    </row>
    <row r="186">
      <c r="A186" s="2" t="inlineStr">
        <is>
          <t>B185</t>
        </is>
      </c>
      <c r="B186" s="2" t="inlineStr">
        <is>
          <t>C093</t>
        </is>
      </c>
      <c r="C186" s="2" t="inlineStr">
        <is>
          <t>Travel and Tourism Business Ideas</t>
        </is>
      </c>
      <c r="D186" s="2" t="inlineStr">
        <is>
          <t>City Tour Desk, Pilgrim Travel Planning, Weekend Group Trip, Homestay Host, Outstation Cab Trip</t>
        </is>
      </c>
      <c r="E186" s="2" t="inlineStr"/>
      <c r="F186" s="2" t="inlineStr">
        <is>
          <t>todo</t>
        </is>
      </c>
      <c r="G186" s="2">
        <f>SUMPRODUCT((Paste!$B$2:$B$20000="OK")*REGEXMATCH(Paste!$C$2:$C$20000&amp;"","^C093-S0[1-5]-I"))</f>
        <v/>
      </c>
      <c r="H186" s="2" t="inlineStr"/>
    </row>
    <row r="187">
      <c r="A187" s="2" t="inlineStr">
        <is>
          <t>B186</t>
        </is>
      </c>
      <c r="B187" s="2" t="inlineStr">
        <is>
          <t>C093</t>
        </is>
      </c>
      <c r="C187" s="2" t="inlineStr">
        <is>
          <t>Travel and Tourism Business Ideas</t>
        </is>
      </c>
      <c r="D187" s="2" t="inlineStr">
        <is>
          <t>Ticket and Plan Desk, Village Stay Experience, Student Tour Group, Senior Travel Support, Travel Page With Booking Help</t>
        </is>
      </c>
      <c r="E187" s="2" t="inlineStr"/>
      <c r="F187" s="2" t="inlineStr">
        <is>
          <t>todo</t>
        </is>
      </c>
      <c r="G187" s="2">
        <f>SUMPRODUCT((Paste!$B$2:$B$20000="OK")*REGEXMATCH(Paste!$C$2:$C$20000&amp;"","^C093-S(0[6-9]|10)-I"))</f>
        <v/>
      </c>
      <c r="H187" s="2" t="inlineStr"/>
    </row>
    <row r="188">
      <c r="A188" s="2" t="inlineStr">
        <is>
          <t>B187</t>
        </is>
      </c>
      <c r="B188" s="2" t="inlineStr">
        <is>
          <t>C094</t>
        </is>
      </c>
      <c r="C188" s="2" t="inlineStr">
        <is>
          <t>Pet Care Business Ideas</t>
        </is>
      </c>
      <c r="D188" s="2" t="inlineStr">
        <is>
          <t>Pet Bath and Coat Care, Dog Walk and Sit Service, Pet Supply Shop, Home Pet Stay, Fish Tank Care Service</t>
        </is>
      </c>
      <c r="E188" s="2" t="inlineStr"/>
      <c r="F188" s="2" t="inlineStr">
        <is>
          <t>todo</t>
        </is>
      </c>
      <c r="G188" s="2">
        <f>SUMPRODUCT((Paste!$B$2:$B$20000="OK")*REGEXMATCH(Paste!$C$2:$C$20000&amp;"","^C094-S0[1-5]-I"))</f>
        <v/>
      </c>
      <c r="H188" s="2" t="inlineStr"/>
    </row>
    <row r="189">
      <c r="A189" s="2" t="inlineStr">
        <is>
          <t>B188</t>
        </is>
      </c>
      <c r="B189" s="2" t="inlineStr">
        <is>
          <t>C094</t>
        </is>
      </c>
      <c r="C189" s="2" t="inlineStr">
        <is>
          <t>Pet Care Business Ideas</t>
        </is>
      </c>
      <c r="D189" s="2" t="inlineStr">
        <is>
          <t>Pet Manner Class, Van Based Pet Grooming, Clinic Side Pet Retail, Pet Treat Baking, Society Pet Help Service</t>
        </is>
      </c>
      <c r="E189" s="2" t="inlineStr"/>
      <c r="F189" s="2" t="inlineStr">
        <is>
          <t>todo</t>
        </is>
      </c>
      <c r="G189" s="2">
        <f>SUMPRODUCT((Paste!$B$2:$B$20000="OK")*REGEXMATCH(Paste!$C$2:$C$20000&amp;"","^C094-S(0[6-9]|10)-I"))</f>
        <v/>
      </c>
      <c r="H189" s="2" t="inlineStr"/>
    </row>
    <row r="190">
      <c r="A190" s="2" t="inlineStr">
        <is>
          <t>B189</t>
        </is>
      </c>
      <c r="B190" s="2" t="inlineStr">
        <is>
          <t>C095</t>
        </is>
      </c>
      <c r="C190" s="2" t="inlineStr">
        <is>
          <t>Hostel and PG Accommodation Business Ideas</t>
        </is>
      </c>
      <c r="D190" s="2" t="inlineStr">
        <is>
          <t>Men Student PG, Women Only PG, Working People PG, Hostel Meal Plan, Private Room Stay</t>
        </is>
      </c>
      <c r="E190" s="2" t="inlineStr"/>
      <c r="F190" s="2" t="inlineStr">
        <is>
          <t>todo</t>
        </is>
      </c>
      <c r="G190" s="2">
        <f>SUMPRODUCT((Paste!$B$2:$B$20000="OK")*REGEXMATCH(Paste!$C$2:$C$20000&amp;"","^C095-S0[1-5]-I"))</f>
        <v/>
      </c>
      <c r="H190" s="2" t="inlineStr"/>
    </row>
    <row r="191">
      <c r="A191" s="2" t="inlineStr">
        <is>
          <t>B190</t>
        </is>
      </c>
      <c r="B191" s="2" t="inlineStr">
        <is>
          <t>C095</t>
        </is>
      </c>
      <c r="C191" s="2" t="inlineStr">
        <is>
          <t>Hostel and PG Accommodation Business Ideas</t>
        </is>
      </c>
      <c r="D191" s="2" t="inlineStr">
        <is>
          <t>PG Near Colleges, Short Guest Stay, PG Food and Clean Add On, Shared Flat Running, Town Student Hostel</t>
        </is>
      </c>
      <c r="E191" s="2" t="inlineStr"/>
      <c r="F191" s="2" t="inlineStr">
        <is>
          <t>todo</t>
        </is>
      </c>
      <c r="G191" s="2">
        <f>SUMPRODUCT((Paste!$B$2:$B$20000="OK")*REGEXMATCH(Paste!$C$2:$C$20000&amp;"","^C095-S(0[6-9]|10)-I"))</f>
        <v/>
      </c>
      <c r="H191" s="2" t="inlineStr"/>
    </row>
    <row r="192">
      <c r="A192" s="2" t="inlineStr">
        <is>
          <t>B191</t>
        </is>
      </c>
      <c r="B192" s="2" t="inlineStr">
        <is>
          <t>C096</t>
        </is>
      </c>
      <c r="C192" s="2" t="inlineStr">
        <is>
          <t>Rental and Hiring Business Ideas</t>
        </is>
      </c>
      <c r="D192" s="2" t="inlineStr">
        <is>
          <t>Home Furniture on Hire, Function Tent and Chair Hire, Outfit on Hire, Tool Hire Counter, Vehicle on Hire</t>
        </is>
      </c>
      <c r="E192" s="2" t="inlineStr"/>
      <c r="F192" s="2" t="inlineStr">
        <is>
          <t>todo</t>
        </is>
      </c>
      <c r="G192" s="2">
        <f>SUMPRODUCT((Paste!$B$2:$B$20000="OK")*REGEXMATCH(Paste!$C$2:$C$20000&amp;"","^C096-S0[1-5]-I"))</f>
        <v/>
      </c>
      <c r="H192" s="2" t="inlineStr"/>
    </row>
    <row r="193">
      <c r="A193" s="2" t="inlineStr">
        <is>
          <t>B192</t>
        </is>
      </c>
      <c r="B193" s="2" t="inlineStr">
        <is>
          <t>C096</t>
        </is>
      </c>
      <c r="C193" s="2" t="inlineStr">
        <is>
          <t>Rental and Hiring Business Ideas</t>
        </is>
      </c>
      <c r="D193" s="2" t="inlineStr">
        <is>
          <t>Party Utensil Hire, Projector and Speaker Hire, Worksite Machine Hire, Kids Party Item Hire, Home Appliance on Hire</t>
        </is>
      </c>
      <c r="E193" s="2" t="inlineStr"/>
      <c r="F193" s="2" t="inlineStr">
        <is>
          <t>todo</t>
        </is>
      </c>
      <c r="G193" s="2">
        <f>SUMPRODUCT((Paste!$B$2:$B$20000="OK")*REGEXMATCH(Paste!$C$2:$C$20000&amp;"","^C096-S(0[6-9]|10)-I"))</f>
        <v/>
      </c>
      <c r="H193" s="2" t="inlineStr"/>
    </row>
    <row r="194">
      <c r="A194" s="2" t="inlineStr">
        <is>
          <t>B193</t>
        </is>
      </c>
      <c r="B194" s="2" t="inlineStr">
        <is>
          <t>C097</t>
        </is>
      </c>
      <c r="C194" s="2" t="inlineStr">
        <is>
          <t>Sports Coaching Business Ideas</t>
        </is>
      </c>
      <c r="D194" s="2" t="inlineStr">
        <is>
          <t>Cricket Net Academy, Football Age Group Coaching, Badminton Coaching Batch, Skating Class, Chess Coaching Group</t>
        </is>
      </c>
      <c r="E194" s="2" t="inlineStr"/>
      <c r="F194" s="2" t="inlineStr">
        <is>
          <t>todo</t>
        </is>
      </c>
      <c r="G194" s="2">
        <f>SUMPRODUCT((Paste!$B$2:$B$20000="OK")*REGEXMATCH(Paste!$C$2:$C$20000&amp;"","^C097-S0[1-5]-I"))</f>
        <v/>
      </c>
      <c r="H194" s="2" t="inlineStr"/>
    </row>
    <row r="195">
      <c r="A195" s="2" t="inlineStr">
        <is>
          <t>B194</t>
        </is>
      </c>
      <c r="B195" s="2" t="inlineStr">
        <is>
          <t>C097</t>
        </is>
      </c>
      <c r="C195" s="2" t="inlineStr">
        <is>
          <t>Sports Coaching Business Ideas</t>
        </is>
      </c>
      <c r="D195" s="2" t="inlineStr">
        <is>
          <t>Swim Skill Coaching, Local Contact Sport Coaching, Morning Track Batch, Self Defence Batch, School Games Coaching Tie Up</t>
        </is>
      </c>
      <c r="E195" s="2" t="inlineStr"/>
      <c r="F195" s="2" t="inlineStr">
        <is>
          <t>todo</t>
        </is>
      </c>
      <c r="G195" s="2">
        <f>SUMPRODUCT((Paste!$B$2:$B$20000="OK")*REGEXMATCH(Paste!$C$2:$C$20000&amp;"","^C097-S(0[6-9]|10)-I"))</f>
        <v/>
      </c>
      <c r="H195" s="2" t="inlineStr"/>
    </row>
    <row r="196">
      <c r="A196" s="2" t="inlineStr">
        <is>
          <t>B195</t>
        </is>
      </c>
      <c r="B196" s="2" t="inlineStr">
        <is>
          <t>C098</t>
        </is>
      </c>
      <c r="C196" s="2" t="inlineStr">
        <is>
          <t>Career and Recruitment Business Ideas</t>
        </is>
      </c>
      <c r="D196" s="2" t="inlineStr">
        <is>
          <t>Local Job Consultancy, Resume and Interview Practice, Campus Drive Support, Shop and Site Staff Supply, Home Staff Placement</t>
        </is>
      </c>
      <c r="E196" s="2" t="inlineStr"/>
      <c r="F196" s="2" t="inlineStr">
        <is>
          <t>todo</t>
        </is>
      </c>
      <c r="G196" s="2">
        <f>SUMPRODUCT((Paste!$B$2:$B$20000="OK")*REGEXMATCH(Paste!$C$2:$C$20000&amp;"","^C098-S0[1-5]-I"))</f>
        <v/>
      </c>
      <c r="H196" s="2" t="inlineStr"/>
    </row>
    <row r="197">
      <c r="A197" s="2" t="inlineStr">
        <is>
          <t>B196</t>
        </is>
      </c>
      <c r="B197" s="2" t="inlineStr">
        <is>
          <t>C098</t>
        </is>
      </c>
      <c r="C197" s="2" t="inlineStr">
        <is>
          <t>Career and Recruitment Business Ideas</t>
        </is>
      </c>
      <c r="D197" s="2" t="inlineStr">
        <is>
          <t>Skilled Person Matching, Hiring Day Event, Skill to First Job Batch, Small Firm People Process Help, Walk In Hiring Desk</t>
        </is>
      </c>
      <c r="E197" s="2" t="inlineStr"/>
      <c r="F197" s="2" t="inlineStr">
        <is>
          <t>todo</t>
        </is>
      </c>
      <c r="G197" s="2">
        <f>SUMPRODUCT((Paste!$B$2:$B$20000="OK")*REGEXMATCH(Paste!$C$2:$C$20000&amp;"","^C098-S(0[6-9]|10)-I"))</f>
        <v/>
      </c>
      <c r="H197" s="2" t="inlineStr"/>
    </row>
    <row r="198">
      <c r="A198" s="2" t="inlineStr">
        <is>
          <t>B197</t>
        </is>
      </c>
      <c r="B198" s="2" t="inlineStr">
        <is>
          <t>C099</t>
        </is>
      </c>
      <c r="C198" s="2" t="inlineStr">
        <is>
          <t>Accounting and Compliance Service Business Ideas</t>
        </is>
      </c>
      <c r="D198" s="2" t="inlineStr">
        <is>
          <t>GST Filing Desk, Shop Daily Accounts, Income Tax Return Help, Accounts Software Entry, Small Team Payroll</t>
        </is>
      </c>
      <c r="E198" s="2" t="inlineStr"/>
      <c r="F198" s="2" t="inlineStr">
        <is>
          <t>todo</t>
        </is>
      </c>
      <c r="G198" s="2">
        <f>SUMPRODUCT((Paste!$B$2:$B$20000="OK")*REGEXMATCH(Paste!$C$2:$C$20000&amp;"","^C099-S0[1-5]-I"))</f>
        <v/>
      </c>
      <c r="H198" s="2" t="inlineStr"/>
    </row>
    <row r="199">
      <c r="A199" s="2" t="inlineStr">
        <is>
          <t>B198</t>
        </is>
      </c>
      <c r="B199" s="2" t="inlineStr">
        <is>
          <t>C099</t>
        </is>
      </c>
      <c r="C199" s="2" t="inlineStr">
        <is>
          <t>Accounting and Compliance Service Business Ideas</t>
        </is>
      </c>
      <c r="D199" s="2" t="inlineStr">
        <is>
          <t>Licence and Registration Help, Bill and Invoice Setup, Society Accounts Keeping, Books Ready for Audit, Monthly Compliance Desk</t>
        </is>
      </c>
      <c r="E199" s="2" t="inlineStr"/>
      <c r="F199" s="2" t="inlineStr">
        <is>
          <t>todo</t>
        </is>
      </c>
      <c r="G199" s="2">
        <f>SUMPRODUCT((Paste!$B$2:$B$20000="OK")*REGEXMATCH(Paste!$C$2:$C$20000&amp;"","^C099-S(0[6-9]|10)-I"))</f>
        <v/>
      </c>
      <c r="H199" s="2" t="inlineStr"/>
    </row>
    <row r="200">
      <c r="A200" s="2" t="inlineStr">
        <is>
          <t>B199</t>
        </is>
      </c>
      <c r="B200" s="2" t="inlineStr">
        <is>
          <t>C100</t>
        </is>
      </c>
      <c r="C200" s="2" t="inlineStr">
        <is>
          <t>Small Manufacturing Business Ideas</t>
        </is>
      </c>
      <c r="D200" s="2" t="inlineStr">
        <is>
          <t>Paper Plate Making, Floor Cleaner Liquid Making, Incense Making Unit, Carton Box Making, Bulk Candle Making</t>
        </is>
      </c>
      <c r="E200" s="2" t="inlineStr"/>
      <c r="F200" s="2" t="inlineStr">
        <is>
          <t>todo</t>
        </is>
      </c>
      <c r="G200" s="2">
        <f>SUMPRODUCT((Paste!$B$2:$B$20000="OK")*REGEXMATCH(Paste!$C$2:$C$20000&amp;"","^C100-S0[1-5]-I"))</f>
        <v/>
      </c>
      <c r="H200" s="2" t="inlineStr"/>
    </row>
    <row r="201">
      <c r="A201" s="2" t="inlineStr">
        <is>
          <t>B200</t>
        </is>
      </c>
      <c r="B201" s="2" t="inlineStr">
        <is>
          <t>C100</t>
        </is>
      </c>
      <c r="C201" s="2" t="inlineStr">
        <is>
          <t>Small Manufacturing Business Ideas</t>
        </is>
      </c>
      <c r="D201" s="2" t="inlineStr">
        <is>
          <t>Washing Product Making, Disposable Table Item Making, Notebook Making Unit, Household Plastic Item Making, Simple Garment Stitching Unit</t>
        </is>
      </c>
      <c r="E201" s="2" t="inlineStr"/>
      <c r="F201" s="2" t="inlineStr">
        <is>
          <t>todo</t>
        </is>
      </c>
      <c r="G201" s="2">
        <f>SUMPRODUCT((Paste!$B$2:$B$20000="OK")*REGEXMATCH(Paste!$C$2:$C$20000&amp;"","^C100-S(0[6-9]|10)-I"))</f>
        <v/>
      </c>
      <c r="H201" s="2" t="inlineStr"/>
    </row>
  </sheetData>
  <conditionalFormatting sqref="A2:H201">
    <cfRule type="expression" priority="1" dxfId="1">
      <formula>$F2="done"</formula>
    </cfRule>
    <cfRule type="expression" priority="2" dxfId="2">
      <formula>$F2="writing"</formula>
    </cfRule>
    <cfRule type="expression" priority="3" dxfId="0">
      <formula>$F2="redo"</formula>
    </cfRule>
  </conditionalFormatting>
  <dataValidations count="1">
    <dataValidation sqref="F2:F201" showDropDown="0" showInputMessage="0" showErrorMessage="0" allowBlank="1" type="list">
      <formula1>"todo,writing,done,redo"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C000-S00-I01 | test title | END</t>
        </is>
      </c>
      <c r="B1">
        <f>SPLIT(A1," | ",FALSE,FALSE)</f>
        <v/>
      </c>
    </row>
    <row r="3">
      <c r="A3" t="inlineStr">
        <is>
          <t>This tab only proves the split formula works after upload. Leave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2026-10-16T01:25:04Z</dcterms:created>
  <dcterms:modified xmlns:dcterms="http://purl.org/dc/terms/" xmlns:xsi="http://www.w3.org/2001/XMLSchema-instance" xsi:type="dcterms:W3CDTF">2026-10-16T01:25:04Z</dcterms:modified>
</cp:coreProperties>
</file>